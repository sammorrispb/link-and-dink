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29.xml" ContentType="application/vnd.openxmlformats-officedocument.spreadsheetml.worksheet+xml"/>
  <Override PartName="/xl/worksheets/sheet27.xml" ContentType="application/vnd.openxmlformats-officedocument.spreadsheetml.worksheet+xml"/>
  <Override PartName="/xl/worksheets/sheet26.xml" ContentType="application/vnd.openxmlformats-officedocument.spreadsheetml.worksheet+xml"/>
  <Override PartName="/xl/worksheets/sheet25.xml" ContentType="application/vnd.openxmlformats-officedocument.spreadsheetml.worksheet+xml"/>
  <Override PartName="/xl/worksheets/sheet20.xml" ContentType="application/vnd.openxmlformats-officedocument.spreadsheetml.worksheet+xml"/>
  <Override PartName="/xl/worksheets/sheet18.xml" ContentType="application/vnd.openxmlformats-officedocument.spreadsheetml.worksheet+xml"/>
  <Override PartName="/xl/worksheets/sheet1.xml" ContentType="application/vnd.openxmlformats-officedocument.spreadsheetml.worksheet+xml"/>
  <Override PartName="/xl/worksheets/sheet17.xml" ContentType="application/vnd.openxmlformats-officedocument.spreadsheetml.worksheet+xml"/>
  <Override PartName="/xl/worksheets/sheet16.xml" ContentType="application/vnd.openxmlformats-officedocument.spreadsheetml.worksheet+xml"/>
  <Override PartName="/xl/worksheets/sheet3.xml" ContentType="application/vnd.openxmlformats-officedocument.spreadsheetml.worksheet+xml"/>
  <Override PartName="/xl/worksheets/sheet28.xml" ContentType="application/vnd.openxmlformats-officedocument.spreadsheetml.worksheet+xml"/>
  <Override PartName="/xl/worksheets/sheet40.xml" ContentType="application/vnd.openxmlformats-officedocument.spreadsheetml.worksheet+xml"/>
  <Override PartName="/xl/worksheets/sheet43.xml" ContentType="application/vnd.openxmlformats-officedocument.spreadsheetml.worksheet+xml"/>
  <Override PartName="/xl/worksheets/sheet19.xml" ContentType="application/vnd.openxmlformats-officedocument.spreadsheetml.worksheet+xml"/>
  <Override PartName="/xl/worksheets/sheet15.xml" ContentType="application/vnd.openxmlformats-officedocument.spreadsheetml.worksheet+xml"/>
  <Override PartName="/xl/worksheets/sheet45.xml" ContentType="application/vnd.openxmlformats-officedocument.spreadsheetml.worksheet+xml"/>
  <Override PartName="/xl/worksheets/sheet30.xml" ContentType="application/vnd.openxmlformats-officedocument.spreadsheetml.worksheet+xml"/>
  <Override PartName="/xl/worksheets/sheet8.xml" ContentType="application/vnd.openxmlformats-officedocument.spreadsheetml.worksheet+xml"/>
  <Override PartName="/xl/worksheets/sheet39.xml" ContentType="application/vnd.openxmlformats-officedocument.spreadsheetml.worksheet+xml"/>
  <Override PartName="/xl/worksheets/sheet24.xml" ContentType="application/vnd.openxmlformats-officedocument.spreadsheetml.worksheet+xml"/>
  <Override PartName="/xl/worksheets/sheet36.xml" ContentType="application/vnd.openxmlformats-officedocument.spreadsheetml.worksheet+xml"/>
  <Override PartName="/xl/worksheets/sheet44.xml" ContentType="application/vnd.openxmlformats-officedocument.spreadsheetml.worksheet+xml"/>
  <Override PartName="/xl/worksheets/sheet46.xml" ContentType="application/vnd.openxmlformats-officedocument.spreadsheetml.worksheet+xml"/>
  <Override PartName="/xl/worksheets/sheet37.xml" ContentType="application/vnd.openxmlformats-officedocument.spreadsheetml.worksheet+xml"/>
  <Override PartName="/xl/worksheets/sheet11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2.xml" ContentType="application/vnd.openxmlformats-officedocument.spreadsheetml.worksheet+xml"/>
  <Override PartName="/xl/worksheets/sheet31.xml" ContentType="application/vnd.openxmlformats-officedocument.spreadsheetml.worksheet+xml"/>
  <Override PartName="/xl/worksheets/sheet38.xml" ContentType="application/vnd.openxmlformats-officedocument.spreadsheetml.worksheet+xml"/>
  <Override PartName="/xl/worksheets/sheet6.xml" ContentType="application/vnd.openxmlformats-officedocument.spreadsheetml.worksheet+xml"/>
  <Override PartName="/xl/worksheets/sheet21.xml" ContentType="application/vnd.openxmlformats-officedocument.spreadsheetml.worksheet+xml"/>
  <Override PartName="/xl/worksheets/sheet2.xml" ContentType="application/vnd.openxmlformats-officedocument.spreadsheetml.worksheet+xml"/>
  <Override PartName="/xl/worksheets/sheet47.xml" ContentType="application/vnd.openxmlformats-officedocument.spreadsheetml.worksheet+xml"/>
  <Override PartName="/xl/worksheets/sheet10.xml" ContentType="application/vnd.openxmlformats-officedocument.spreadsheetml.worksheet+xml"/>
  <Override PartName="/xl/worksheets/sheet23.xml" ContentType="application/vnd.openxmlformats-officedocument.spreadsheetml.worksheet+xml"/>
  <Override PartName="/xl/worksheets/sheet9.xml" ContentType="application/vnd.openxmlformats-officedocument.spreadsheetml.worksheet+xml"/>
  <Override PartName="/xl/worksheets/sheet22.xml" ContentType="application/vnd.openxmlformats-officedocument.spreadsheetml.worksheet+xml"/>
  <Override PartName="/xl/worksheets/sheet14.xml" ContentType="application/vnd.openxmlformats-officedocument.spreadsheetml.worksheet+xml"/>
  <Override PartName="/xl/worksheets/sheet35.xml" ContentType="application/vnd.openxmlformats-officedocument.spreadsheetml.worksheet+xml"/>
  <Override PartName="/xl/worksheets/sheet13.xml" ContentType="application/vnd.openxmlformats-officedocument.spreadsheetml.worksheet+xml"/>
  <Override PartName="/xl/worksheets/sheet7.xml" ContentType="application/vnd.openxmlformats-officedocument.spreadsheetml.worksheet+xml"/>
  <Override PartName="/xl/worksheets/sheet12.xml" ContentType="application/vnd.openxmlformats-officedocument.spreadsheetml.worksheet+xml"/>
  <Override PartName="/xl/worksheets/sheet5.xml" ContentType="application/vnd.openxmlformats-officedocument.spreadsheetml.worksheet+xml"/>
  <Override PartName="/xl/worksheets/sheet34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ver" sheetId="1" state="visible" r:id="rId3"/>
    <sheet name="Matrix" sheetId="2" state="visible" r:id="rId4"/>
    <sheet name="Glossary" sheetId="3" state="visible" r:id="rId5"/>
    <sheet name="RP-04" sheetId="4" state="visible" r:id="rId6"/>
    <sheet name="RP-05" sheetId="5" state="visible" r:id="rId7"/>
    <sheet name="RP-06" sheetId="6" state="visible" r:id="rId8"/>
    <sheet name="RP-07" sheetId="7" state="visible" r:id="rId9"/>
    <sheet name="RP-08" sheetId="8" state="visible" r:id="rId10"/>
    <sheet name="RP-09" sheetId="9" state="visible" r:id="rId11"/>
    <sheet name="RP-10" sheetId="10" state="visible" r:id="rId12"/>
    <sheet name="RP-11" sheetId="11" state="visible" r:id="rId13"/>
    <sheet name="RP-12" sheetId="12" state="visible" r:id="rId14"/>
    <sheet name="RP-13" sheetId="13" state="visible" r:id="rId15"/>
    <sheet name="RP-14" sheetId="14" state="visible" r:id="rId16"/>
    <sheet name="RP-15" sheetId="15" state="visible" r:id="rId17"/>
    <sheet name="RP-16" sheetId="16" state="visible" r:id="rId18"/>
    <sheet name="RP-17" sheetId="17" state="visible" r:id="rId19"/>
    <sheet name="RP-18" sheetId="18" state="visible" r:id="rId20"/>
    <sheet name="SP-06" sheetId="19" state="visible" r:id="rId21"/>
    <sheet name="SP-08" sheetId="20" state="visible" r:id="rId22"/>
    <sheet name="SP-10" sheetId="21" state="visible" r:id="rId23"/>
    <sheet name="SP-12" sheetId="22" state="visible" r:id="rId24"/>
    <sheet name="SP-14" sheetId="23" state="visible" r:id="rId25"/>
    <sheet name="SP-16" sheetId="24" state="visible" r:id="rId26"/>
    <sheet name="SP-18" sheetId="25" state="visible" r:id="rId27"/>
    <sheet name="Sched-RP-04" sheetId="26" state="visible" r:id="rId28"/>
    <sheet name="Sched-RP-05" sheetId="27" state="visible" r:id="rId29"/>
    <sheet name="Sched-RP-06" sheetId="28" state="visible" r:id="rId30"/>
    <sheet name="Sched-RP-07" sheetId="29" state="visible" r:id="rId31"/>
    <sheet name="Sched-RP-08" sheetId="30" state="visible" r:id="rId32"/>
    <sheet name="Sched-RP-09" sheetId="31" state="visible" r:id="rId33"/>
    <sheet name="Sched-RP-10" sheetId="32" state="visible" r:id="rId34"/>
    <sheet name="Sched-RP-11" sheetId="33" state="visible" r:id="rId35"/>
    <sheet name="Sched-RP-12" sheetId="34" state="visible" r:id="rId36"/>
    <sheet name="Sched-RP-13" sheetId="35" state="visible" r:id="rId37"/>
    <sheet name="Sched-RP-14" sheetId="36" state="visible" r:id="rId38"/>
    <sheet name="Sched-RP-15" sheetId="37" state="visible" r:id="rId39"/>
    <sheet name="Sched-RP-16" sheetId="38" state="visible" r:id="rId40"/>
    <sheet name="Sched-RP-17" sheetId="39" state="visible" r:id="rId41"/>
    <sheet name="Sched-RP-18" sheetId="40" state="visible" r:id="rId42"/>
    <sheet name="Sched-SP-06" sheetId="41" state="visible" r:id="rId43"/>
    <sheet name="Sched-SP-08" sheetId="42" state="visible" r:id="rId44"/>
    <sheet name="Sched-SP-10" sheetId="43" state="visible" r:id="rId45"/>
    <sheet name="Sched-SP-12" sheetId="44" state="visible" r:id="rId46"/>
    <sheet name="Sched-SP-14" sheetId="45" state="visible" r:id="rId47"/>
    <sheet name="Sched-SP-16" sheetId="46" state="visible" r:id="rId48"/>
    <sheet name="Sched-SP-18" sheetId="47" state="visible" r:id="rId4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<sst xmlns="http://schemas.openxmlformats.org/spreadsheetml/2006/main" count="2502" uniqueCount="458">
  <si>
    <t xml:space="preserve">Tournament Format Rundowns</t>
  </si>
  <si>
    <t xml:space="preserve">Round Robin into Single Elimination  •  4-game minimum guaranteed  •  4–18 players</t>
  </si>
  <si>
    <t xml:space="preserve">Purpose</t>
  </si>
  <si>
    <t xml:space="preserve">This workbook is the playbook for running pop-up tournaments at Dill Dinkers, Link &amp; Dink Pot Nights, and any community pickleball event with 4 to 18 players. Each format tab shows you — at a glance — how many courts to set up, how many rounds to plan for, how seeding works, and how the playoff bracket is built. Every format guarantees each player at least 4 games.</t>
  </si>
  <si>
    <t xml:space="preserve">How to use this workbook</t>
  </si>
  <si>
    <t xml:space="preserve">1. Pick the player count.</t>
  </si>
  <si>
    <t xml:space="preserve">Check headcount the night-of. If it shifts, jump to the new tab.</t>
  </si>
  <si>
    <t xml:space="preserve">2. Pick the variant.</t>
  </si>
  <si>
    <t xml:space="preserve">Rotating Partner (RP-XX) = new partner every round, individual scoring. Same Partner (SP-XX) = fixed doubles teams the whole event.</t>
  </si>
  <si>
    <t xml:space="preserve">3. Use the Matrix tab.</t>
  </si>
  <si>
    <t xml:space="preserve">Compare courts, rounds, time, and games-per-player across all formats in one view.</t>
  </si>
  <si>
    <t xml:space="preserve">4. Read the format tab.</t>
  </si>
  <si>
    <t xml:space="preserve">Each tab has: Quick Stats → RR Structure → Seeding → SE Bracket → How To Run It → Round Flow.</t>
  </si>
  <si>
    <t xml:space="preserve">5. 4-game minimum.</t>
  </si>
  <si>
    <t xml:space="preserve">Every player is guaranteed at least 4 games before they could possibly be eliminated.</t>
  </si>
  <si>
    <t xml:space="preserve">Quick legend</t>
  </si>
  <si>
    <t xml:space="preserve">RR</t>
  </si>
  <si>
    <t xml:space="preserve">Round Robin — pool play where everyone (or every team) plays a balanced set of games</t>
  </si>
  <si>
    <t xml:space="preserve">SE</t>
  </si>
  <si>
    <t xml:space="preserve">Single Elimination — knockout bracket; lose once and you're out of the bracket</t>
  </si>
  <si>
    <t xml:space="preserve">Snake Draft</t>
  </si>
  <si>
    <t xml:space="preserve">For Rotating Partner playoffs: top seed pairs with bottom qualifier, 2nd with 2nd-to-last, etc. — balances the championship teams</t>
  </si>
  <si>
    <t xml:space="preserve">Sit-out / Bye</t>
  </si>
  <si>
    <t xml:space="preserve">Odd counts and counts not divisible by 4 — some players (or 1 team) rest each round; rotation is even across the event</t>
  </si>
  <si>
    <t xml:space="preserve">Game length</t>
  </si>
  <si>
    <t xml:space="preserve">Planning figure: 17 min per round (games to 11, win by 2, plus changeover). Adjust to your venue.</t>
  </si>
  <si>
    <t xml:space="preserve">Built for the Tournament Software project. All player counts 4–18 are covered for Rotating Partner; Same Partner covers even counts 6–18 (where doubles teams are possible).</t>
  </si>
  <si>
    <t xml:space="preserve">Format Comparison Matrix</t>
  </si>
  <si>
    <t xml:space="preserve">Scroll the rows; each line is one playable format. Color-coded by variant.</t>
  </si>
  <si>
    <t xml:space="preserve">Variant</t>
  </si>
  <si>
    <t xml:space="preserve">Players</t>
  </si>
  <si>
    <t xml:space="preserve">Teams / Pool</t>
  </si>
  <si>
    <t xml:space="preserve">Courts</t>
  </si>
  <si>
    <t xml:space="preserve">RR Rounds</t>
  </si>
  <si>
    <t xml:space="preserve">RR Games / Player</t>
  </si>
  <si>
    <t xml:space="preserve">SE Bracket</t>
  </si>
  <si>
    <t xml:space="preserve">SE Games (Qualifier)</t>
  </si>
  <si>
    <t xml:space="preserve">Total Rounds</t>
  </si>
  <si>
    <t xml:space="preserve">Min Games / Player</t>
  </si>
  <si>
    <t xml:space="preserve">Est. Total Time (min)</t>
  </si>
  <si>
    <t xml:space="preserve">Notes</t>
  </si>
  <si>
    <t xml:space="preserve">Rotating Partner</t>
  </si>
  <si>
    <t xml:space="preserve">—</t>
  </si>
  <si>
    <t xml:space="preserve">Championship Final</t>
  </si>
  <si>
    <t xml:space="preserve">Full partner rotation 2x; SE = single championship game</t>
  </si>
  <si>
    <t xml:space="preserve">Each player sits exactly 1 round; SE = top-4 championship</t>
  </si>
  <si>
    <t xml:space="preserve">2 player(s) sit per round (even rotation)</t>
  </si>
  <si>
    <t xml:space="preserve">3 player(s) sit per round (even rotation)</t>
  </si>
  <si>
    <t xml:space="preserve">Top 4 SE</t>
  </si>
  <si>
    <t xml:space="preserve">5–6</t>
  </si>
  <si>
    <t xml:space="preserve">1 player(s) sit per round (even rotation)</t>
  </si>
  <si>
    <t xml:space="preserve">4–5</t>
  </si>
  <si>
    <t xml:space="preserve">Top 8 SE</t>
  </si>
  <si>
    <t xml:space="preserve">Same Partner</t>
  </si>
  <si>
    <t xml:space="preserve">3 teams</t>
  </si>
  <si>
    <t xml:space="preserve">Championship Final (Top 2)</t>
  </si>
  <si>
    <t xml:space="preserve">3 teams. Double RR (each team plays each other twice)</t>
  </si>
  <si>
    <t xml:space="preserve">4 teams</t>
  </si>
  <si>
    <t xml:space="preserve">Top 4 SE (Semis + Final)</t>
  </si>
  <si>
    <t xml:space="preserve">4 teams. Single RR (full round robin)</t>
  </si>
  <si>
    <t xml:space="preserve">5 teams</t>
  </si>
  <si>
    <t xml:space="preserve">5 teams. Single RR (full round robin, 1 team sits each round)</t>
  </si>
  <si>
    <t xml:space="preserve">6 teams</t>
  </si>
  <si>
    <t xml:space="preserve">6 teams. Single RR (full round robin)</t>
  </si>
  <si>
    <t xml:space="preserve">7 teams</t>
  </si>
  <si>
    <t xml:space="preserve">7 teams. Single RR (1 team sits each round)</t>
  </si>
  <si>
    <t xml:space="preserve">8 teams</t>
  </si>
  <si>
    <t xml:space="preserve">8 teams. Two pools of 4 + cross-pool round</t>
  </si>
  <si>
    <t xml:space="preserve">9 teams</t>
  </si>
  <si>
    <t xml:space="preserve">9 teams. Two pools (5 + 4) + cross-pool round</t>
  </si>
  <si>
    <t xml:space="preserve">Glossary &amp; Conventions</t>
  </si>
  <si>
    <t xml:space="preserve">Format Naming</t>
  </si>
  <si>
    <t xml:space="preserve">RP-XX</t>
  </si>
  <si>
    <t xml:space="preserve">Rotating Partner format for XX players. Each round, partners are reshuffled. Individual scoring.</t>
  </si>
  <si>
    <t xml:space="preserve">SP-XX</t>
  </si>
  <si>
    <t xml:space="preserve">Same Partner format for XX players (XX teams = XX/2). Teams stay fixed all night. Team scoring.</t>
  </si>
  <si>
    <t xml:space="preserve">Scoring</t>
  </si>
  <si>
    <t xml:space="preserve">Games to 11</t>
  </si>
  <si>
    <t xml:space="preserve">Win by 2. (Standard pickleball recreational scoring.)</t>
  </si>
  <si>
    <t xml:space="preserve">Win</t>
  </si>
  <si>
    <t xml:space="preserve">Recorded as 1 in the Wins column. No tie-breaker games during RR — point differential settles ties.</t>
  </si>
  <si>
    <t xml:space="preserve">Point Differential (Diff)</t>
  </si>
  <si>
    <t xml:space="preserve">Points For minus Points Against, accumulated across all RR games.</t>
  </si>
  <si>
    <t xml:space="preserve">Tiebreaker order</t>
  </si>
  <si>
    <t xml:space="preserve">(1) Wins, (2) Head-to-head, (3) Point Differential, (4) Points For.</t>
  </si>
  <si>
    <t xml:space="preserve">Seeding into SE</t>
  </si>
  <si>
    <t xml:space="preserve">Standings rank</t>
  </si>
  <si>
    <t xml:space="preserve">After RR, rank all players (RP) or teams (SP) 1..N using the tiebreaker order above.</t>
  </si>
  <si>
    <t xml:space="preserve">Seeds 1–4 advance. Semis: 1 vs 4 and 2 vs 3. Winners meet in Final.</t>
  </si>
  <si>
    <t xml:space="preserve">Seeds 1–8 advance. Quarters: 1v8, 4v5, 2v7, 3v6. Standard single-elimination bracket.</t>
  </si>
  <si>
    <t xml:space="preserve">Snake Draft (RP only)</t>
  </si>
  <si>
    <t xml:space="preserve">For Rotating Partner SE, individuals are paired by snake to balance teams. Top-4 SE: Team A = seeds 1+4, Team B = seeds 2+3. Top-8 SE: Pair 1+8, 2+7, 3+6, 4+5 to form 4 teams; bracket from there.</t>
  </si>
  <si>
    <t xml:space="preserve">Court &amp; Time Planning</t>
  </si>
  <si>
    <t xml:space="preserve">Court count</t>
  </si>
  <si>
    <t xml:space="preserve">1 court fits 4 players (1 doubles game). Courts listed are the MAX concurrent courts the format needs.</t>
  </si>
  <si>
    <t xml:space="preserve">Round duration</t>
  </si>
  <si>
    <t xml:space="preserve">17 minutes (15 play + 2 changeover). Bump to 20 min if your group plays slow.</t>
  </si>
  <si>
    <t xml:space="preserve">Sit-outs</t>
  </si>
  <si>
    <t xml:space="preserve">On odd counts and counts not divisible by 4, the rotation has some players resting each round. The schedule cycles sit-outs evenly so no player rests more than 1 round more than any other.</t>
  </si>
  <si>
    <t xml:space="preserve">Pools</t>
  </si>
  <si>
    <t xml:space="preserve">When the field gets big (14+ teams in SP, 16+ in RP), splitting into 2 pools lets RR finish in reasonable time.</t>
  </si>
  <si>
    <t xml:space="preserve">4-Game Minimum</t>
  </si>
  <si>
    <t xml:space="preserve">What it means</t>
  </si>
  <si>
    <t xml:space="preserve">Every player is guaranteed at least 4 games on the night, regardless of how they finish.</t>
  </si>
  <si>
    <t xml:space="preserve">How it's met</t>
  </si>
  <si>
    <t xml:space="preserve">Each RR design above gives non-qualifiers ≥4 games. Qualifiers play those games PLUS the SE games.</t>
  </si>
  <si>
    <t xml:space="preserve">If you cut time</t>
  </si>
  <si>
    <t xml:space="preserve">Don't drop below the listed RR rounds — that's the floor for the 4-game guarantee.</t>
  </si>
  <si>
    <t xml:space="preserve">Tournament Director Checklist</t>
  </si>
  <si>
    <t xml:space="preserve">Before round 1</t>
  </si>
  <si>
    <t xml:space="preserve">Confirm headcount → pick format tab → mark courts → announce scoring &amp; timing.</t>
  </si>
  <si>
    <t xml:space="preserve">After RR</t>
  </si>
  <si>
    <t xml:space="preserve">Update standings → confirm seeding → announce SE bracket &amp; start times.</t>
  </si>
  <si>
    <t xml:space="preserve">After Final</t>
  </si>
  <si>
    <t xml:space="preserve">Record winners → take photo → save scoresheet for ranking history.</t>
  </si>
  <si>
    <t xml:space="preserve">Rotating Partner  •  4 Players</t>
  </si>
  <si>
    <t xml:space="preserve">Format code: RP-04   |   Individual scoring   |   New partner every round</t>
  </si>
  <si>
    <t xml:space="preserve">Quick Stats</t>
  </si>
  <si>
    <t xml:space="preserve">Courts in use</t>
  </si>
  <si>
    <t xml:space="preserve">1 court</t>
  </si>
  <si>
    <t xml:space="preserve">Players sitting/round</t>
  </si>
  <si>
    <t xml:space="preserve">0 (everyone plays every round)</t>
  </si>
  <si>
    <t xml:space="preserve">RR rounds</t>
  </si>
  <si>
    <t xml:space="preserve">6 rounds</t>
  </si>
  <si>
    <t xml:space="preserve">RR games / player</t>
  </si>
  <si>
    <t xml:space="preserve">6</t>
  </si>
  <si>
    <t xml:space="preserve">Playoff bracket</t>
  </si>
  <si>
    <t xml:space="preserve">SE games (qualifier)</t>
  </si>
  <si>
    <t xml:space="preserve">1 game</t>
  </si>
  <si>
    <t xml:space="preserve">Min games / player</t>
  </si>
  <si>
    <t xml:space="preserve">6 (RR only, non-qualifier)</t>
  </si>
  <si>
    <t xml:space="preserve">Total rounds</t>
  </si>
  <si>
    <t xml:space="preserve">7 rounds</t>
  </si>
  <si>
    <t xml:space="preserve">Estimated total time</t>
  </si>
  <si>
    <t xml:space="preserve">119 min  (~2.0 hrs)</t>
  </si>
  <si>
    <t xml:space="preserve">Round Robin Structure</t>
  </si>
  <si>
    <t xml:space="preserve">4 players run a full partner rotation: each player partners with each other player exactly twice across 6 rounds (3 unique pairings × 2 rotations). Every player plays every round, so games-per-player = rounds = 6. No sit-outs.</t>
  </si>
  <si>
    <t xml:space="preserve">Round-by-Round Flow</t>
  </si>
  <si>
    <t xml:space="preserve">Round</t>
  </si>
  <si>
    <t xml:space="preserve">Players Playing</t>
  </si>
  <si>
    <t xml:space="preserve">Players Sitting</t>
  </si>
  <si>
    <t xml:space="preserve">Courts Active</t>
  </si>
  <si>
    <t xml:space="preserve">Cumulative Games (min)</t>
  </si>
  <si>
    <t xml:space="preserve">After all 6 RR rounds, every player has played at least 6 games — meeting the 4-game minimum.</t>
  </si>
  <si>
    <t xml:space="preserve">Seeding &amp; Single Elimination Bracket</t>
  </si>
  <si>
    <t xml:space="preserve">Top 2 by point differential play a Championship Final. The other 2 play a 3rd-place game. (Optional — if time-constrained, declare winners straight from RR standings.)</t>
  </si>
  <si>
    <t xml:space="preserve">How to Run It (TD Checklist)</t>
  </si>
  <si>
    <t xml:space="preserve">Step 1</t>
  </si>
  <si>
    <t xml:space="preserve">Confirm 4 players on site. If +/- 1 from expected, switch to the matching RP-XX tab.</t>
  </si>
  <si>
    <t xml:space="preserve">Step 2</t>
  </si>
  <si>
    <t xml:space="preserve">Set up 1 court. Post the round schedule (or use your scoring app).</t>
  </si>
  <si>
    <t xml:space="preserve">Step 3</t>
  </si>
  <si>
    <t xml:space="preserve">Brief players: rotating partners, games to 11 win by 2, 6 RR rounds, top 2 advance to playoffs.</t>
  </si>
  <si>
    <t xml:space="preserve">Step 4</t>
  </si>
  <si>
    <t xml:space="preserve">Run RR rounds 1–6. After each round, update player Wins / Point Diff / Points For.</t>
  </si>
  <si>
    <t xml:space="preserve">Step 5</t>
  </si>
  <si>
    <t xml:space="preserve">Lock standings. Announce the playoff bracket and which seeds are paired (snake draft).</t>
  </si>
  <si>
    <t xml:space="preserve">Step 6</t>
  </si>
  <si>
    <t xml:space="preserve">Run SE: 1 game per qualifier. Final crowns the champion.</t>
  </si>
  <si>
    <t xml:space="preserve">Step 7</t>
  </si>
  <si>
    <t xml:space="preserve">Record results in your tracking sheet for ranking history. Photos with prizes — that's a wrap.</t>
  </si>
  <si>
    <t xml:space="preserve">Rotating Partner  •  5 Players</t>
  </si>
  <si>
    <t xml:space="preserve">Format code: RP-05   |   Individual scoring   |   New partner every round</t>
  </si>
  <si>
    <t xml:space="preserve">1 player</t>
  </si>
  <si>
    <t xml:space="preserve">5 rounds</t>
  </si>
  <si>
    <t xml:space="preserve">4</t>
  </si>
  <si>
    <t xml:space="preserve">4 (RR only, non-qualifier)</t>
  </si>
  <si>
    <t xml:space="preserve">102 min  (~1.7 hrs)</t>
  </si>
  <si>
    <t xml:space="preserve">5 players, 1 court(s) active per round, with 1 player(s) sitting each round. Sit-outs rotate evenly: across 5 rounds, each player sits 0–2 time(s). Partners are reshuffled each round; opponents are mixed; individual point totals across all games played determine standings.</t>
  </si>
  <si>
    <t xml:space="preserve">After all 5 RR rounds, every player has played at least 4 games — meeting the 4-game minimum.</t>
  </si>
  <si>
    <t xml:space="preserve">After RR, rank all players 1..N by Wins, then Point Differential, then Points For. Top 4 play a single Championship Game: seeds 1 + 4 partner up vs. seeds 2 + 3 (snake-draft pairing). Winners are co-champions; runners-up take 2nd. If you want a podium for 3rd, the remaining players (seeds 5+ on small fields) can play a consolation final.</t>
  </si>
  <si>
    <t xml:space="preserve">Confirm 5 players on site. If +/- 1 from expected, switch to the matching RP-XX tab.</t>
  </si>
  <si>
    <t xml:space="preserve">Brief players: rotating partners, games to 11 win by 2, 5 RR rounds, top 4 advance to playoffs.</t>
  </si>
  <si>
    <t xml:space="preserve">Run RR rounds 1–5. After each round, update player Wins / Point Diff / Points For.</t>
  </si>
  <si>
    <t xml:space="preserve">Rotating Partner  •  6 Players</t>
  </si>
  <si>
    <t xml:space="preserve">Format code: RP-06   |   Individual scoring   |   New partner every round</t>
  </si>
  <si>
    <t xml:space="preserve">2 players</t>
  </si>
  <si>
    <t xml:space="preserve">6 players, 1 court(s) active per round, with 2 player(s) sitting each round. Sit-outs rotate evenly: across 6 rounds, each player sits 0–3 time(s). Partners are reshuffled each round; opponents are mixed; individual point totals across all games played determine standings.</t>
  </si>
  <si>
    <t xml:space="preserve">After all 6 RR rounds, every player has played at least 4 games — meeting the 4-game minimum.</t>
  </si>
  <si>
    <t xml:space="preserve">Confirm 6 players on site. If +/- 1 from expected, switch to the matching RP-XX tab.</t>
  </si>
  <si>
    <t xml:space="preserve">Brief players: rotating partners, games to 11 win by 2, 6 RR rounds, top 4 advance to playoffs.</t>
  </si>
  <si>
    <t xml:space="preserve">Rotating Partner  •  7 Players</t>
  </si>
  <si>
    <t xml:space="preserve">Format code: RP-07   |   Individual scoring   |   New partner every round</t>
  </si>
  <si>
    <t xml:space="preserve">3 players</t>
  </si>
  <si>
    <t xml:space="preserve">8 rounds</t>
  </si>
  <si>
    <t xml:space="preserve">136 min  (~2.3 hrs)</t>
  </si>
  <si>
    <t xml:space="preserve">7 players, 1 court(s) active per round, with 3 player(s) sitting each round. Sit-outs rotate evenly: across 7 rounds, each player sits 0–4 time(s). Partners are reshuffled each round; opponents are mixed; individual point totals across all games played determine standings.</t>
  </si>
  <si>
    <t xml:space="preserve">After all 7 RR rounds, every player has played at least 4 games — meeting the 4-game minimum.</t>
  </si>
  <si>
    <t xml:space="preserve">Confirm 7 players on site. If +/- 1 from expected, switch to the matching RP-XX tab.</t>
  </si>
  <si>
    <t xml:space="preserve">Brief players: rotating partners, games to 11 win by 2, 7 RR rounds, top 4 advance to playoffs.</t>
  </si>
  <si>
    <t xml:space="preserve">Run RR rounds 1–7. After each round, update player Wins / Point Diff / Points For.</t>
  </si>
  <si>
    <t xml:space="preserve">Rotating Partner  •  8 Players</t>
  </si>
  <si>
    <t xml:space="preserve">Format code: RP-08   |   Individual scoring   |   New partner every round</t>
  </si>
  <si>
    <t xml:space="preserve">2 courts</t>
  </si>
  <si>
    <t xml:space="preserve">2 games</t>
  </si>
  <si>
    <t xml:space="preserve">8 players fit exactly on 2 court(s) — everyone plays every round. Partners are reshuffled each round so no two players are paired twice (or as evenly as possible across 6 rounds). Individual point totals from all games determine standings.</t>
  </si>
  <si>
    <t xml:space="preserve">After RR, rank all players 1..N by Wins, then Point Differential, then Points For. Top 4 advance. Snake-draft pairing forms 2 final teams: Team A = seeds 1+4, Team B = seeds 2+3. Semis: skipped (top-4 SE is just the championship game). Final: Team A vs Team B. Winners take 1st &amp; 2nd; losers take 3rd &amp; 4th by their RR seed.
Each qualifier plays 1 SE game (Final). Combined with RR, they hit the 4-game minimum or better.</t>
  </si>
  <si>
    <t xml:space="preserve">Confirm 8 players on site. If +/- 1 from expected, switch to the matching RP-XX tab.</t>
  </si>
  <si>
    <t xml:space="preserve">Set up 2 courts. Post the round schedule (or use your scoring app).</t>
  </si>
  <si>
    <t xml:space="preserve">Run SE: 2 games per qualifier. Final crowns the champion.</t>
  </si>
  <si>
    <t xml:space="preserve">Rotating Partner  •  9 Players</t>
  </si>
  <si>
    <t xml:space="preserve">Format code: RP-09   |   Individual scoring   |   New partner every round</t>
  </si>
  <si>
    <t xml:space="preserve">5–6 games</t>
  </si>
  <si>
    <t xml:space="preserve">5 (RR only, non-qualifier)</t>
  </si>
  <si>
    <t xml:space="preserve">9 players, 2 court(s) active per round, with 1 player(s) sitting each round. Sit-outs rotate evenly: across 6 rounds, each player sits 0–1 time(s). Partners are reshuffled each round; opponents are mixed; individual point totals across all games played determine standings.</t>
  </si>
  <si>
    <t xml:space="preserve">After all 6 RR rounds, every player has played at least 5 games — meeting the 4-game minimum.</t>
  </si>
  <si>
    <t xml:space="preserve">Confirm 9 players on site. If +/- 1 from expected, switch to the matching RP-XX tab.</t>
  </si>
  <si>
    <t xml:space="preserve">Rotating Partner  •  10 Players</t>
  </si>
  <si>
    <t xml:space="preserve">Format code: RP-10   |   Individual scoring   |   New partner every round</t>
  </si>
  <si>
    <t xml:space="preserve">4–5 games</t>
  </si>
  <si>
    <t xml:space="preserve">10 players, 2 court(s) active per round, with 2 player(s) sitting each round. Sit-outs rotate evenly: across 6 rounds, each player sits 0–2 time(s). Partners are reshuffled each round; opponents are mixed; individual point totals across all games played determine standings.</t>
  </si>
  <si>
    <t xml:space="preserve">Confirm 10 players on site. If +/- 1 from expected, switch to the matching RP-XX tab.</t>
  </si>
  <si>
    <t xml:space="preserve">Rotating Partner  •  11 Players</t>
  </si>
  <si>
    <t xml:space="preserve">Format code: RP-11   |   Individual scoring   |   New partner every round</t>
  </si>
  <si>
    <t xml:space="preserve">9 rounds</t>
  </si>
  <si>
    <t xml:space="preserve">153 min  (~2.5 hrs)</t>
  </si>
  <si>
    <t xml:space="preserve">11 players, 2 court(s) active per round, with 3 player(s) sitting each round. Sit-outs rotate evenly: across 7 rounds, each player sits 0–2 time(s). Partners are reshuffled each round; opponents are mixed; individual point totals across all games played determine standings.</t>
  </si>
  <si>
    <t xml:space="preserve">After all 7 RR rounds, every player has played at least 5 games — meeting the 4-game minimum.</t>
  </si>
  <si>
    <t xml:space="preserve">Confirm 11 players on site. If +/- 1 from expected, switch to the matching RP-XX tab.</t>
  </si>
  <si>
    <t xml:space="preserve">Rotating Partner  •  12 Players</t>
  </si>
  <si>
    <t xml:space="preserve">Format code: RP-12   |   Individual scoring   |   New partner every round</t>
  </si>
  <si>
    <t xml:space="preserve">3 courts</t>
  </si>
  <si>
    <t xml:space="preserve">12 players fit exactly on 3 court(s) — everyone plays every round. Partners are reshuffled each round so no two players are paired twice (or as evenly as possible across 6 rounds). Individual point totals from all games determine standings.</t>
  </si>
  <si>
    <t xml:space="preserve">After RR, rank all players 1..N by Wins, then Point Differential, then Points For. Top 8 advance. Snake-draft pairs them into 4 teams: seeds 1+8, 2+7, 3+6, 4+5. Standard 4-team SE bracket:
   • Semifinals (Game 1): Team(1+8) vs Team(4+5)  and  Team(2+7) vs Team(3+6)
   • Final (Game 2): semifinal winners face off
Each qualifier plays 1–2 SE games (semi loser plays 1; finalists play 2).</t>
  </si>
  <si>
    <t xml:space="preserve">Confirm 12 players on site. If +/- 1 from expected, switch to the matching RP-XX tab.</t>
  </si>
  <si>
    <t xml:space="preserve">Set up 3 courts. Post the round schedule (or use your scoring app).</t>
  </si>
  <si>
    <t xml:space="preserve">Brief players: rotating partners, games to 11 win by 2, 6 RR rounds, top 8 advance to playoffs.</t>
  </si>
  <si>
    <t xml:space="preserve">Rotating Partner  •  13 Players</t>
  </si>
  <si>
    <t xml:space="preserve">Format code: RP-13   |   Individual scoring   |   New partner every round</t>
  </si>
  <si>
    <t xml:space="preserve">13 players, 3 court(s) active per round, with 1 player(s) sitting each round. Sit-outs rotate evenly: across 6 rounds, each player sits 0–1 time(s). Partners are reshuffled each round; opponents are mixed; individual point totals across all games played determine standings.</t>
  </si>
  <si>
    <t xml:space="preserve">Confirm 13 players on site. If +/- 1 from expected, switch to the matching RP-XX tab.</t>
  </si>
  <si>
    <t xml:space="preserve">Rotating Partner  •  14 Players</t>
  </si>
  <si>
    <t xml:space="preserve">Format code: RP-14   |   Individual scoring   |   New partner every round</t>
  </si>
  <si>
    <t xml:space="preserve">14 players, 3 court(s) active per round, with 2 player(s) sitting each round. Sit-outs rotate evenly: across 6 rounds, each player sits 0–1 time(s). Partners are reshuffled each round; opponents are mixed; individual point totals across all games played determine standings.</t>
  </si>
  <si>
    <t xml:space="preserve">Confirm 14 players on site. If +/- 1 from expected, switch to the matching RP-XX tab.</t>
  </si>
  <si>
    <t xml:space="preserve">Rotating Partner  •  15 Players</t>
  </si>
  <si>
    <t xml:space="preserve">Format code: RP-15   |   Individual scoring   |   New partner every round</t>
  </si>
  <si>
    <t xml:space="preserve">15 players, 3 court(s) active per round, with 3 player(s) sitting each round. Sit-outs rotate evenly: across 6 rounds, each player sits 0–2 time(s). Partners are reshuffled each round; opponents are mixed; individual point totals across all games played determine standings.</t>
  </si>
  <si>
    <t xml:space="preserve">Confirm 15 players on site. If +/- 1 from expected, switch to the matching RP-XX tab.</t>
  </si>
  <si>
    <t xml:space="preserve">Rotating Partner  •  16 Players</t>
  </si>
  <si>
    <t xml:space="preserve">Format code: RP-16   |   Individual scoring   |   New partner every round</t>
  </si>
  <si>
    <t xml:space="preserve">4 courts</t>
  </si>
  <si>
    <t xml:space="preserve">16 players fit exactly on 4 court(s) — everyone plays every round. Partners are reshuffled each round so no two players are paired twice (or as evenly as possible across 6 rounds). Individual point totals from all games determine standings.</t>
  </si>
  <si>
    <t xml:space="preserve">Confirm 16 players on site. If +/- 1 from expected, switch to the matching RP-XX tab.</t>
  </si>
  <si>
    <t xml:space="preserve">Set up 4 courts. Post the round schedule (or use your scoring app).</t>
  </si>
  <si>
    <t xml:space="preserve">Rotating Partner  •  17 Players</t>
  </si>
  <si>
    <t xml:space="preserve">Format code: RP-17   |   Individual scoring   |   New partner every round</t>
  </si>
  <si>
    <t xml:space="preserve">17 players, 4 court(s) active per round, with 1 player(s) sitting each round. Sit-outs rotate evenly: across 6 rounds, each player sits 0–1 time(s). Partners are reshuffled each round; opponents are mixed; individual point totals across all games played determine standings.</t>
  </si>
  <si>
    <t xml:space="preserve">Confirm 17 players on site. If +/- 1 from expected, switch to the matching RP-XX tab.</t>
  </si>
  <si>
    <t xml:space="preserve">Rotating Partner  •  18 Players</t>
  </si>
  <si>
    <t xml:space="preserve">Format code: RP-18   |   Individual scoring   |   New partner every round</t>
  </si>
  <si>
    <t xml:space="preserve">18 players, 4 court(s) active per round, with 2 player(s) sitting each round. Sit-outs rotate evenly: across 6 rounds, each player sits 0–1 time(s). Partners are reshuffled each round; opponents are mixed; individual point totals across all games played determine standings.</t>
  </si>
  <si>
    <t xml:space="preserve">Confirm 18 players on site. If +/- 1 from expected, switch to the matching RP-XX tab.</t>
  </si>
  <si>
    <t xml:space="preserve">Same Partner  •  6 Players  (3 Teams)</t>
  </si>
  <si>
    <t xml:space="preserve">Format code: SP-06   |   Fixed doubles teams   |   Team scoring</t>
  </si>
  <si>
    <t xml:space="preserve">Teams</t>
  </si>
  <si>
    <t xml:space="preserve">3 teams (6 players, fixed partners)</t>
  </si>
  <si>
    <t xml:space="preserve">RR structure</t>
  </si>
  <si>
    <t xml:space="preserve">Double RR (each team plays each other twice)</t>
  </si>
  <si>
    <t xml:space="preserve">RR games / team</t>
  </si>
  <si>
    <t xml:space="preserve">1–1 game</t>
  </si>
  <si>
    <t xml:space="preserve">Min games / team</t>
  </si>
  <si>
    <t xml:space="preserve">4  (same as team — partner stays)</t>
  </si>
  <si>
    <t xml:space="preserve">3 teams play a DOUBLE round robin — every team plays every other team twice. That's 6 total games across 6 rounds on 1 court (sequential). Each team plays 4 games. Standings ranked by Wins, then Point Differential, then Points For.</t>
  </si>
  <si>
    <t xml:space="preserve">Teams Playing</t>
  </si>
  <si>
    <t xml:space="preserve">Teams Sitting</t>
  </si>
  <si>
    <t xml:space="preserve">Cumulative Games / Team</t>
  </si>
  <si>
    <t xml:space="preserve">RR Rd 1</t>
  </si>
  <si>
    <t xml:space="preserve">RR Rd 2</t>
  </si>
  <si>
    <t xml:space="preserve">RR Rd 3</t>
  </si>
  <si>
    <t xml:space="preserve">RR Rd 4</t>
  </si>
  <si>
    <t xml:space="preserve">RR Rd 5</t>
  </si>
  <si>
    <t xml:space="preserve">RR Rd 6</t>
  </si>
  <si>
    <t xml:space="preserve">Every team plays at least 4 games in RR. Qualifiers add the SE games on top. 4-game minimum is met for every team — and therefore every player.</t>
  </si>
  <si>
    <t xml:space="preserve">After the double RR, the top 2 teams play a Championship Final (1 game). 3rd-place team can play a consolation game vs. another team if time permits.</t>
  </si>
  <si>
    <t xml:space="preserve">Confirm 6 players, paired into 3 teams. If headcount drifts, switch tabs.</t>
  </si>
  <si>
    <t xml:space="preserve">Set up 1 court. Post the RR schedule (match-by-match).</t>
  </si>
  <si>
    <t xml:space="preserve">Brief teams: Double RR (each team plays each other twice), games to 11 win by 2, top 2 advance.</t>
  </si>
  <si>
    <t xml:space="preserve">Run RR (6 rounds). Record Wins, Points For/Against, Point Diff after each game.</t>
  </si>
  <si>
    <t xml:space="preserve">Lock standings. Announce SE bracket: post pairings on a flip chart or whiteboard.</t>
  </si>
  <si>
    <t xml:space="preserve">Run SE: Championship Final (Top 2). Trophy/prize for winners; bronze game optional for podium.</t>
  </si>
  <si>
    <t xml:space="preserve">Save final standings to your event history sheet.</t>
  </si>
  <si>
    <t xml:space="preserve">Same Partner  •  8 Players  (4 Teams)</t>
  </si>
  <si>
    <t xml:space="preserve">Format code: SP-08   |   Fixed doubles teams   |   Team scoring</t>
  </si>
  <si>
    <t xml:space="preserve">4 teams (8 players, fixed partners)</t>
  </si>
  <si>
    <t xml:space="preserve">Single RR (full round robin)</t>
  </si>
  <si>
    <t xml:space="preserve">3 rounds</t>
  </si>
  <si>
    <t xml:space="preserve">3</t>
  </si>
  <si>
    <t xml:space="preserve">1–2 games</t>
  </si>
  <si>
    <t xml:space="preserve">85 min  (~1.4 hrs)</t>
  </si>
  <si>
    <t xml:space="preserve">4 teams play a full round robin: every team plays every other team once. 3 rounds, 2 games per round on 2 courts (everyone plays every round). Each team plays 3 RR games — combined with the SE bracket, that meets the 4-game floor.</t>
  </si>
  <si>
    <t xml:space="preserve">SE Semis</t>
  </si>
  <si>
    <t xml:space="preserve">SE Final</t>
  </si>
  <si>
    <t xml:space="preserve">After RR, rank all teams 1–N by Wins → Point Differential → Points For.
Top 4 SE bracket:
  • Semifinal A:  #1 seed vs #4 seed
  • Semifinal B:  #2 seed vs #3 seed
  • Final:  Semi A winner vs Semi B winner
Each qualifier plays 1 (semi loser) to 2 (finalist) SE games. If you want a podium for 3rd, run a bronze game between the two semi losers.</t>
  </si>
  <si>
    <t xml:space="preserve">Confirm 8 players, paired into 4 teams. If headcount drifts, switch tabs.</t>
  </si>
  <si>
    <t xml:space="preserve">Set up 2 courts. Post the RR schedule (match-by-match).</t>
  </si>
  <si>
    <t xml:space="preserve">Brief teams: Single RR (full round robin), games to 11 win by 2, top 4 advance.</t>
  </si>
  <si>
    <t xml:space="preserve">Run RR (3 rounds). Record Wins, Points For/Against, Point Diff after each game.</t>
  </si>
  <si>
    <t xml:space="preserve">Run SE: Top 4 SE (Semis + Final). Trophy/prize for winners; bronze game optional for podium.</t>
  </si>
  <si>
    <t xml:space="preserve">Same Partner  •  10 Players  (5 Teams)</t>
  </si>
  <si>
    <t xml:space="preserve">Format code: SP-10   |   Fixed doubles teams   |   Team scoring</t>
  </si>
  <si>
    <t xml:space="preserve">5 teams (10 players, fixed partners)</t>
  </si>
  <si>
    <t xml:space="preserve">Single RR (full round robin, 1 team sits each round)</t>
  </si>
  <si>
    <t xml:space="preserve">5 teams play a full round robin: every team plays every other team once. 5 rounds, 2 games per round (1 team rests each round). Each team plays 4 RR games. Sit-outs rotate evenly — each team rests exactly once.</t>
  </si>
  <si>
    <t xml:space="preserve">Confirm 10 players, paired into 5 teams. If headcount drifts, switch tabs.</t>
  </si>
  <si>
    <t xml:space="preserve">Brief teams: Single RR (full round robin, 1 team sits each round), games to 11 win by 2, top 4 advance.</t>
  </si>
  <si>
    <t xml:space="preserve">Run RR (5 rounds). Record Wins, Points For/Against, Point Diff after each game.</t>
  </si>
  <si>
    <t xml:space="preserve">Same Partner  •  12 Players  (6 Teams)</t>
  </si>
  <si>
    <t xml:space="preserve">Format code: SP-12   |   Fixed doubles teams   |   Team scoring</t>
  </si>
  <si>
    <t xml:space="preserve">6 teams (12 players, fixed partners)</t>
  </si>
  <si>
    <t xml:space="preserve">5</t>
  </si>
  <si>
    <t xml:space="preserve">5  (same as team — partner stays)</t>
  </si>
  <si>
    <t xml:space="preserve">6 teams play a full round robin: every team plays every other team once. 5 rounds, 3 games per round on 3 courts (everyone plays every round). Each team plays 5 RR games.</t>
  </si>
  <si>
    <t xml:space="preserve">Every team plays at least 5 games in RR. Qualifiers add the SE games on top. 4-game minimum is met for every team — and therefore every player.</t>
  </si>
  <si>
    <t xml:space="preserve">Confirm 12 players, paired into 6 teams. If headcount drifts, switch tabs.</t>
  </si>
  <si>
    <t xml:space="preserve">Set up 3 courts. Post the RR schedule (match-by-match).</t>
  </si>
  <si>
    <t xml:space="preserve">Same Partner  •  14 Players  (7 Teams)</t>
  </si>
  <si>
    <t xml:space="preserve">Format code: SP-14   |   Fixed doubles teams   |   Team scoring</t>
  </si>
  <si>
    <t xml:space="preserve">7 teams (14 players, fixed partners)</t>
  </si>
  <si>
    <t xml:space="preserve">Single RR (1 team sits each round)</t>
  </si>
  <si>
    <t xml:space="preserve">6  (same as team — partner stays)</t>
  </si>
  <si>
    <t xml:space="preserve">7 teams play a full round robin: every team plays every other team once. 7 rounds, 3 games per round on 3 courts (1 team rests each round, rotating evenly). Each team plays 6 RR games.</t>
  </si>
  <si>
    <t xml:space="preserve">RR Rd 7</t>
  </si>
  <si>
    <t xml:space="preserve">Every team plays at least 6 games in RR. Qualifiers add the SE games on top. 4-game minimum is met for every team — and therefore every player.</t>
  </si>
  <si>
    <t xml:space="preserve">Confirm 14 players, paired into 7 teams. If headcount drifts, switch tabs.</t>
  </si>
  <si>
    <t xml:space="preserve">Brief teams: Single RR (1 team sits each round), games to 11 win by 2, top 4 advance.</t>
  </si>
  <si>
    <t xml:space="preserve">Run RR (7 rounds). Record Wins, Points For/Against, Point Diff after each game.</t>
  </si>
  <si>
    <t xml:space="preserve">Same Partner  •  16 Players  (8 Teams)</t>
  </si>
  <si>
    <t xml:space="preserve">Format code: SP-16   |   Fixed doubles teams   |   Team scoring</t>
  </si>
  <si>
    <t xml:space="preserve">8 teams (16 players, fixed partners)</t>
  </si>
  <si>
    <t xml:space="preserve">Two pools of 4 + cross-pool round</t>
  </si>
  <si>
    <t xml:space="preserve">4 rounds</t>
  </si>
  <si>
    <t xml:space="preserve">8 teams split into 2 pools of 4 (A &amp; B). Each pool runs a 3-round round robin (every team plays every team in their pool). Then a single cross-pool round seeds 1A vs 1B, 2A vs 2B, etc. — gives every team a 4th game and helps overall seeding. Total: 4 RR rounds, 4 games per team.</t>
  </si>
  <si>
    <t xml:space="preserve">Confirm 16 players, paired into 8 teams. If headcount drifts, switch tabs.</t>
  </si>
  <si>
    <t xml:space="preserve">Set up 4 courts. Post the RR schedule (match-by-match).</t>
  </si>
  <si>
    <t xml:space="preserve">Brief teams: Two pools of 4 + cross-pool round, games to 11 win by 2, top 4 advance.</t>
  </si>
  <si>
    <t xml:space="preserve">Run RR (4 rounds). Record Wins, Points For/Against, Point Diff after each game.</t>
  </si>
  <si>
    <t xml:space="preserve">Same Partner  •  18 Players  (9 Teams)</t>
  </si>
  <si>
    <t xml:space="preserve">Format code: SP-18   |   Fixed doubles teams   |   Team scoring</t>
  </si>
  <si>
    <t xml:space="preserve">9 teams (18 players, fixed partners)</t>
  </si>
  <si>
    <t xml:space="preserve">Two pools (5 + 4) + cross-pool round</t>
  </si>
  <si>
    <t xml:space="preserve">9 teams split into one Pool A (5 teams) and one Pool B (4 teams). Pool A runs a full RR (every team plays 4 games over 5 rounds with 1 sitting each round). Pool B runs a full RR (every team plays 3 games over 3 rounds) plus a 1-game cross-pool round vs Pool A. Result: every team plays 4 RR games. Total: 5 RR rounds.</t>
  </si>
  <si>
    <t xml:space="preserve">Confirm 18 players, paired into 9 teams. If headcount drifts, switch tabs.</t>
  </si>
  <si>
    <t xml:space="preserve">Brief teams: Two pools (5 + 4) + cross-pool round, games to 11 win by 2, top 4 advance.</t>
  </si>
  <si>
    <t xml:space="preserve">Schedule — RP-04  (4 Players, Rotating Partner)</t>
  </si>
  <si>
    <t xml:space="preserve">1 court  •  6 RR rounds  •  0 sits per round  •  Top 2 → Championship Final  •  4-game min guaranteed</t>
  </si>
  <si>
    <t xml:space="preserve">STANDINGS  —  edit player names in Column A; scores fill from grid below</t>
  </si>
  <si>
    <t xml:space="preserve">Player</t>
  </si>
  <si>
    <t xml:space="preserve">W</t>
  </si>
  <si>
    <t xml:space="preserve">PF</t>
  </si>
  <si>
    <t xml:space="preserve">PA</t>
  </si>
  <si>
    <t xml:space="preserve">Diff</t>
  </si>
  <si>
    <t xml:space="preserve">Seed</t>
  </si>
  <si>
    <t xml:space="preserve">Games Played</t>
  </si>
  <si>
    <t xml:space="preserve">Player 1</t>
  </si>
  <si>
    <t xml:space="preserve">Player 2</t>
  </si>
  <si>
    <t xml:space="preserve">Player 3</t>
  </si>
  <si>
    <t xml:space="preserve">Player 4</t>
  </si>
  <si>
    <t xml:space="preserve">MATCHUPS  —  enter scores in the yellow cells</t>
  </si>
  <si>
    <t xml:space="preserve">Court / Round</t>
  </si>
  <si>
    <t xml:space="preserve">Round 1</t>
  </si>
  <si>
    <t xml:space="preserve">Round 2</t>
  </si>
  <si>
    <t xml:space="preserve">Round 3</t>
  </si>
  <si>
    <t xml:space="preserve">Round 4</t>
  </si>
  <si>
    <t xml:space="preserve">Round 5</t>
  </si>
  <si>
    <t xml:space="preserve">Round 6</t>
  </si>
  <si>
    <t xml:space="preserve">Court 1</t>
  </si>
  <si>
    <t xml:space="preserve">Team A</t>
  </si>
  <si>
    <t xml:space="preserve">VS</t>
  </si>
  <si>
    <t xml:space="preserve">vs</t>
  </si>
  <si>
    <t xml:space="preserve">Team B</t>
  </si>
  <si>
    <t xml:space="preserve">Schedule — RP-05  (5 Players, Rotating Partner)</t>
  </si>
  <si>
    <t xml:space="preserve">1 court  •  5 RR rounds  •  1 sit per round  •  Top 4 → Championship Final  •  4-game min guaranteed</t>
  </si>
  <si>
    <t xml:space="preserve">Player 5</t>
  </si>
  <si>
    <t xml:space="preserve">Sitting Out</t>
  </si>
  <si>
    <t xml:space="preserve">Schedule — RP-06  (6 Players, Rotating Partner)</t>
  </si>
  <si>
    <t xml:space="preserve">1 court  •  6 RR rounds  •  2 sits per round  •  Top 4 → Championship Final  •  4-game min guaranteed</t>
  </si>
  <si>
    <t xml:space="preserve">Player 6</t>
  </si>
  <si>
    <t xml:space="preserve">Schedule — RP-07  (7 Players, Rotating Partner)</t>
  </si>
  <si>
    <t xml:space="preserve">1 court  •  7 RR rounds  •  3 sits per round  •  Top 4 → Championship Final  •  4-game min guaranteed</t>
  </si>
  <si>
    <t xml:space="preserve">Player 7</t>
  </si>
  <si>
    <t xml:space="preserve">Round 7</t>
  </si>
  <si>
    <t xml:space="preserve">Schedule — RP-08  (8 Players, Rotating Partner)</t>
  </si>
  <si>
    <t xml:space="preserve">2 courts  •  6 RR rounds  •  0 sits per round  •  Top 4 → Top 4 SE  •  4-game min guaranteed</t>
  </si>
  <si>
    <t xml:space="preserve">Player 8</t>
  </si>
  <si>
    <t xml:space="preserve">Court 2</t>
  </si>
  <si>
    <t xml:space="preserve">Schedule — RP-09  (9 Players, Rotating Partner)</t>
  </si>
  <si>
    <t xml:space="preserve">2 courts  •  6 RR rounds  •  1 sit per round  •  Top 4 → Top 4 SE  •  4-game min guaranteed</t>
  </si>
  <si>
    <t xml:space="preserve">Player 9</t>
  </si>
  <si>
    <t xml:space="preserve">Schedule — RP-10  (10 Players, Rotating Partner)</t>
  </si>
  <si>
    <t xml:space="preserve">2 courts  •  6 RR rounds  •  2 sits per round  •  Top 4 → Top 4 SE  •  4-game min guaranteed</t>
  </si>
  <si>
    <t xml:space="preserve">Player 10</t>
  </si>
  <si>
    <t xml:space="preserve">Schedule — RP-11  (11 Players, Rotating Partner)</t>
  </si>
  <si>
    <t xml:space="preserve">2 courts  •  7 RR rounds  •  3 sits per round  •  Top 4 → Top 4 SE  •  4-game min guaranteed</t>
  </si>
  <si>
    <t xml:space="preserve">Player 11</t>
  </si>
  <si>
    <t xml:space="preserve">Schedule — RP-12  (12 Players, Rotating Partner)</t>
  </si>
  <si>
    <t xml:space="preserve">3 courts  •  6 RR rounds  •  0 sits per round  •  Top 8 → Top 8 SE  •  4-game min guaranteed</t>
  </si>
  <si>
    <t xml:space="preserve">Player 12</t>
  </si>
  <si>
    <t xml:space="preserve">Court 3</t>
  </si>
  <si>
    <t xml:space="preserve">Schedule — RP-13  (13 Players, Rotating Partner)</t>
  </si>
  <si>
    <t xml:space="preserve">3 courts  •  6 RR rounds  •  1 sit per round  •  Top 8 → Top 8 SE  •  4-game min guaranteed</t>
  </si>
  <si>
    <t xml:space="preserve">Player 13</t>
  </si>
  <si>
    <t xml:space="preserve">Schedule — RP-14  (14 Players, Rotating Partner)</t>
  </si>
  <si>
    <t xml:space="preserve">3 courts  •  6 RR rounds  •  2 sits per round  •  Top 8 → Top 8 SE  •  4-game min guaranteed</t>
  </si>
  <si>
    <t xml:space="preserve">Player 14</t>
  </si>
  <si>
    <t xml:space="preserve">Schedule — RP-15  (15 Players, Rotating Partner)</t>
  </si>
  <si>
    <t xml:space="preserve">3 courts  •  6 RR rounds  •  3 sits per round  •  Top 8 → Top 8 SE  •  4-game min guaranteed</t>
  </si>
  <si>
    <t xml:space="preserve">Player 15</t>
  </si>
  <si>
    <t xml:space="preserve">Schedule — RP-16  (16 Players, Rotating Partner)</t>
  </si>
  <si>
    <t xml:space="preserve">4 courts  •  6 RR rounds  •  0 sits per round  •  Top 8 → Top 8 SE  •  4-game min guaranteed</t>
  </si>
  <si>
    <t xml:space="preserve">Player 16</t>
  </si>
  <si>
    <t xml:space="preserve">Court 4</t>
  </si>
  <si>
    <t xml:space="preserve">Schedule — RP-17  (17 Players, Rotating Partner)</t>
  </si>
  <si>
    <t xml:space="preserve">4 courts  •  6 RR rounds  •  1 sit per round  •  Top 8 → Top 8 SE  •  4-game min guaranteed</t>
  </si>
  <si>
    <t xml:space="preserve">Player 17</t>
  </si>
  <si>
    <t xml:space="preserve">Schedule — RP-18  (18 Players, Rotating Partner)</t>
  </si>
  <si>
    <t xml:space="preserve">4 courts  •  6 RR rounds  •  2 sits per round  •  Top 8 → Top 8 SE  •  4-game min guaranteed</t>
  </si>
  <si>
    <t xml:space="preserve">Player 18</t>
  </si>
  <si>
    <t xml:space="preserve">Schedule — SP-06  (6 Players, 3 Same-Partner Teams)</t>
  </si>
  <si>
    <t xml:space="preserve">1 court  •  6 RR rounds  •  Double RR (each team plays each other twice)  •  Top 2 → Championship Final (Top 2)</t>
  </si>
  <si>
    <t xml:space="preserve">STANDINGS  —  edit Team names &amp; player names in Columns A &amp; B; scores roll up from grid below</t>
  </si>
  <si>
    <t xml:space="preserve">Team</t>
  </si>
  <si>
    <t xml:space="preserve">Team 1</t>
  </si>
  <si>
    <t xml:space="preserve">Player 1 / Player 2</t>
  </si>
  <si>
    <t xml:space="preserve">Team 2</t>
  </si>
  <si>
    <t xml:space="preserve">Player 3 / Player 4</t>
  </si>
  <si>
    <t xml:space="preserve">Team 3</t>
  </si>
  <si>
    <t xml:space="preserve">Player 5 / Player 6</t>
  </si>
  <si>
    <t xml:space="preserve">Game / Round</t>
  </si>
  <si>
    <t xml:space="preserve">Game Slot 1</t>
  </si>
  <si>
    <t xml:space="preserve">Schedule — SP-08  (8 Players, 4 Same-Partner Teams)</t>
  </si>
  <si>
    <t xml:space="preserve">2 courts  •  3 RR rounds  •  Single RR (full round robin)  •  Top 4 → Top 4 SE (Semis + Final)</t>
  </si>
  <si>
    <t xml:space="preserve">Team 4</t>
  </si>
  <si>
    <t xml:space="preserve">Player 7 / Player 8</t>
  </si>
  <si>
    <t xml:space="preserve">Game Slot 2</t>
  </si>
  <si>
    <t xml:space="preserve">Schedule — SP-10  (10 Players, 5 Same-Partner Teams)</t>
  </si>
  <si>
    <t xml:space="preserve">2 courts  •  5 RR rounds  •  Single RR (full round robin, 1 team sits each round)  •  Top 4 → Top 4 SE (Semis + Final)</t>
  </si>
  <si>
    <t xml:space="preserve">Team 5</t>
  </si>
  <si>
    <t xml:space="preserve">Player 9 / Player 10</t>
  </si>
  <si>
    <t xml:space="preserve">Schedule — SP-12  (12 Players, 6 Same-Partner Teams)</t>
  </si>
  <si>
    <t xml:space="preserve">3 courts  •  5 RR rounds  •  Single RR (full round robin)  •  Top 4 → Top 4 SE (Semis + Final)</t>
  </si>
  <si>
    <t xml:space="preserve">Team 6</t>
  </si>
  <si>
    <t xml:space="preserve">Player 11 / Player 12</t>
  </si>
  <si>
    <t xml:space="preserve">Game Slot 3</t>
  </si>
  <si>
    <t xml:space="preserve">Schedule — SP-14  (14 Players, 7 Same-Partner Teams)</t>
  </si>
  <si>
    <t xml:space="preserve">3 courts  •  7 RR rounds  •  Single RR (1 team sits each round)  •  Top 4 → Top 4 SE (Semis + Final)</t>
  </si>
  <si>
    <t xml:space="preserve">Team 7</t>
  </si>
  <si>
    <t xml:space="preserve">Player 13 / Player 14</t>
  </si>
  <si>
    <t xml:space="preserve">Schedule — SP-16  (16 Players, 8 Same-Partner Teams)</t>
  </si>
  <si>
    <t xml:space="preserve">4 courts  •  4 RR rounds  •  Two pools of 4 + cross-pool round  •  Top 4 → Top 4 SE (Semis + Final)</t>
  </si>
  <si>
    <t xml:space="preserve">Team 8</t>
  </si>
  <si>
    <t xml:space="preserve">Player 15 / Player 16</t>
  </si>
  <si>
    <t xml:space="preserve">Crossover</t>
  </si>
  <si>
    <t xml:space="preserve">Game Slot 4</t>
  </si>
  <si>
    <t xml:space="preserve">Schedule — SP-18  (18 Players, 9 Same-Partner Teams)</t>
  </si>
  <si>
    <t xml:space="preserve">4 courts  •  6 RR rounds  •  Two pools (5 + 4) + cross-pool round  •  Top 4 → Top 4 SE (Semis + Final)</t>
  </si>
  <si>
    <t xml:space="preserve">Team 9</t>
  </si>
  <si>
    <t xml:space="preserve">Player 17 / Player 18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</si>
</sst>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"/>
  </numFmts>
  <fonts count="2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2"/>
      <color rgb="FF1F3A68"/>
      <name val="Arial"/>
      <family val="0"/>
      <charset val="1"/>
    </font>
    <font>
      <sz val="12"/>
      <color rgb="FF2E8B8B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sz val="11"/>
      <color rgb="FF000000"/>
      <name val="Arial"/>
      <family val="0"/>
      <charset val="1"/>
    </font>
    <font>
      <b val="true"/>
      <sz val="11"/>
      <color rgb="FF1F3A68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555555"/>
      <name val="Arial"/>
      <family val="0"/>
      <charset val="1"/>
    </font>
    <font>
      <b val="true"/>
      <sz val="18"/>
      <color rgb="FF1F3A68"/>
      <name val="Arial"/>
      <family val="0"/>
      <charset val="1"/>
    </font>
    <font>
      <sz val="10"/>
      <color rgb="FF2E8B8B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20"/>
      <color rgb="FF1F3A68"/>
      <name val="Arial"/>
      <family val="0"/>
      <charset val="1"/>
    </font>
    <font>
      <sz val="11"/>
      <color rgb="FF2E8B8B"/>
      <name val="Arial"/>
      <family val="0"/>
      <charset val="1"/>
    </font>
    <font>
      <b val="true"/>
      <sz val="11"/>
      <color rgb="FF00000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1F3A68"/>
      <name val="Arial"/>
      <family val="0"/>
      <charset val="1"/>
    </font>
    <font>
      <b val="true"/>
      <sz val="12"/>
      <color rgb="FF1F3A68"/>
      <name val="Arial"/>
      <family val="0"/>
      <charset val="1"/>
    </font>
    <font>
      <b val="true"/>
      <sz val="10"/>
      <color rgb="FF2E8B8B"/>
      <name val="Arial"/>
      <family val="0"/>
      <charset val="1"/>
    </font>
    <font>
      <i val="true"/>
      <sz val="10"/>
      <color rgb="FF1F3A68"/>
      <name val="Arial"/>
      <family val="0"/>
      <charset val="1"/>
    </font>
    <font>
      <sz val="10"/>
      <color rgb="FF999999"/>
      <name val="Arial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1F3A68"/>
        <bgColor rgb="FF333399"/>
      </patternFill>
    </fill>
    <fill>
      <patternFill patternType="solid">
        <fgColor rgb="FFEFEFEF"/>
        <bgColor rgb="FFDCE7F1"/>
      </patternFill>
    </fill>
    <fill>
      <patternFill patternType="solid">
        <fgColor rgb="FFFFFFFF"/>
        <bgColor rgb="FFFFF4D6"/>
      </patternFill>
    </fill>
    <fill>
      <patternFill patternType="solid">
        <fgColor rgb="FFFFF4D6"/>
        <bgColor rgb="FFEFEFEF"/>
      </patternFill>
    </fill>
    <fill>
      <patternFill patternType="solid">
        <fgColor rgb="FFDCE7F1"/>
        <bgColor rgb="FFDAE9D6"/>
      </patternFill>
    </fill>
    <fill>
      <patternFill patternType="solid">
        <fgColor rgb="FFDAE9D6"/>
        <bgColor rgb="FFDCE7F1"/>
      </patternFill>
    </fill>
    <fill>
      <patternFill patternType="solid">
        <fgColor rgb="FF2E8B8B"/>
        <bgColor rgb="FF008080"/>
      </patternFill>
    </fill>
    <fill>
      <patternFill patternType="solid">
        <fgColor rgb="FFF5D6D6"/>
        <bgColor rgb="FFDAE9D6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>
        <color rgb="FF999999"/>
      </left>
      <right/>
      <top style="thin">
        <color rgb="FF999999"/>
      </top>
      <bottom style="thin">
        <color rgb="FF999999"/>
      </bottom>
      <diagonal/>
    </border>
    <border diagonalUp="false" diagonalDown="false"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 diagonalUp="false" diagonalDown="false">
      <left style="thin">
        <color rgb="FF999999"/>
      </left>
      <right/>
      <top style="thin">
        <color rgb="FF999999"/>
      </top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3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0" fillId="5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1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3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6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7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3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3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5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3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7" fillId="3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6" borderId="3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8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5" borderId="3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3" borderId="2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7" borderId="3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9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20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8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4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20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1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9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2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3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4D6"/>
      <rgbColor rgb="FFDCE7F1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FEFEF"/>
      <rgbColor rgb="FFDAE9D6"/>
      <rgbColor rgb="FFFFFF99"/>
      <rgbColor rgb="FF99CCFF"/>
      <rgbColor rgb="FFFF99CC"/>
      <rgbColor rgb="FFCC99FF"/>
      <rgbColor rgb="FFF5D6D6"/>
      <rgbColor rgb="FF3366FF"/>
      <rgbColor rgb="FF33CCCC"/>
      <rgbColor rgb="FF99CC00"/>
      <rgbColor rgb="FFFFCC00"/>
      <rgbColor rgb="FFFF9900"/>
      <rgbColor rgb="FFFF6600"/>
      <rgbColor rgb="FF555555"/>
      <rgbColor rgb="FF999999"/>
      <rgbColor rgb="FF1F3A68"/>
      <rgbColor rgb="FF2E8B8B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worksheet" Target="worksheets/sheet20.xml"/><Relationship Id="rId23" Type="http://schemas.openxmlformats.org/officeDocument/2006/relationships/worksheet" Target="worksheets/sheet21.xml"/><Relationship Id="rId24" Type="http://schemas.openxmlformats.org/officeDocument/2006/relationships/worksheet" Target="worksheets/sheet22.xml"/><Relationship Id="rId25" Type="http://schemas.openxmlformats.org/officeDocument/2006/relationships/worksheet" Target="worksheets/sheet23.xml"/><Relationship Id="rId26" Type="http://schemas.openxmlformats.org/officeDocument/2006/relationships/worksheet" Target="worksheets/sheet24.xml"/><Relationship Id="rId27" Type="http://schemas.openxmlformats.org/officeDocument/2006/relationships/worksheet" Target="worksheets/sheet25.xml"/><Relationship Id="rId28" Type="http://schemas.openxmlformats.org/officeDocument/2006/relationships/worksheet" Target="worksheets/sheet26.xml"/><Relationship Id="rId29" Type="http://schemas.openxmlformats.org/officeDocument/2006/relationships/worksheet" Target="worksheets/sheet27.xml"/><Relationship Id="rId30" Type="http://schemas.openxmlformats.org/officeDocument/2006/relationships/worksheet" Target="worksheets/sheet28.xml"/><Relationship Id="rId31" Type="http://schemas.openxmlformats.org/officeDocument/2006/relationships/worksheet" Target="worksheets/sheet29.xml"/><Relationship Id="rId32" Type="http://schemas.openxmlformats.org/officeDocument/2006/relationships/worksheet" Target="worksheets/sheet30.xml"/><Relationship Id="rId33" Type="http://schemas.openxmlformats.org/officeDocument/2006/relationships/worksheet" Target="worksheets/sheet31.xml"/><Relationship Id="rId34" Type="http://schemas.openxmlformats.org/officeDocument/2006/relationships/worksheet" Target="worksheets/sheet32.xml"/><Relationship Id="rId35" Type="http://schemas.openxmlformats.org/officeDocument/2006/relationships/worksheet" Target="worksheets/sheet33.xml"/><Relationship Id="rId36" Type="http://schemas.openxmlformats.org/officeDocument/2006/relationships/worksheet" Target="worksheets/sheet34.xml"/><Relationship Id="rId37" Type="http://schemas.openxmlformats.org/officeDocument/2006/relationships/worksheet" Target="worksheets/sheet35.xml"/><Relationship Id="rId38" Type="http://schemas.openxmlformats.org/officeDocument/2006/relationships/worksheet" Target="worksheets/sheet36.xml"/><Relationship Id="rId39" Type="http://schemas.openxmlformats.org/officeDocument/2006/relationships/worksheet" Target="worksheets/sheet37.xml"/><Relationship Id="rId40" Type="http://schemas.openxmlformats.org/officeDocument/2006/relationships/worksheet" Target="worksheets/sheet38.xml"/><Relationship Id="rId41" Type="http://schemas.openxmlformats.org/officeDocument/2006/relationships/worksheet" Target="worksheets/sheet39.xml"/><Relationship Id="rId42" Type="http://schemas.openxmlformats.org/officeDocument/2006/relationships/worksheet" Target="worksheets/sheet40.xml"/><Relationship Id="rId43" Type="http://schemas.openxmlformats.org/officeDocument/2006/relationships/worksheet" Target="worksheets/sheet41.xml"/><Relationship Id="rId44" Type="http://schemas.openxmlformats.org/officeDocument/2006/relationships/worksheet" Target="worksheets/sheet42.xml"/><Relationship Id="rId45" Type="http://schemas.openxmlformats.org/officeDocument/2006/relationships/worksheet" Target="worksheets/sheet43.xml"/><Relationship Id="rId46" Type="http://schemas.openxmlformats.org/officeDocument/2006/relationships/worksheet" Target="worksheets/sheet44.xml"/><Relationship Id="rId47" Type="http://schemas.openxmlformats.org/officeDocument/2006/relationships/worksheet" Target="worksheets/sheet45.xml"/><Relationship Id="rId48" Type="http://schemas.openxmlformats.org/officeDocument/2006/relationships/worksheet" Target="worksheets/sheet46.xml"/><Relationship Id="rId49" Type="http://schemas.openxmlformats.org/officeDocument/2006/relationships/worksheet" Target="worksheets/sheet47.xml"/><Relationship Id="rId5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G3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26"/>
    <col collapsed="false" customWidth="true" hidden="false" outlineLevel="0" max="7" min="3" style="1" width="16"/>
  </cols>
  <sheetData>
    <row r="2" customFormat="false" ht="72.75" hidden="false" customHeight="true" outlineLevel="0" collapsed="false">
      <c r="B2" s="2" t="s">
        <v>0</v>
      </c>
    </row>
    <row r="3" customFormat="false" ht="15" hidden="false" customHeight="true" outlineLevel="0" collapsed="false">
      <c r="B3" s="3" t="s">
        <v>1</v>
      </c>
    </row>
    <row r="5" customFormat="false" ht="15" hidden="false" customHeight="true" outlineLevel="0" collapsed="false">
      <c r="B5" s="4" t="s">
        <v>2</v>
      </c>
      <c r="C5" s="4"/>
      <c r="D5" s="4"/>
      <c r="E5" s="4"/>
      <c r="F5" s="4"/>
      <c r="G5" s="4"/>
    </row>
    <row r="6" customFormat="false" ht="15" hidden="false" customHeight="true" outlineLevel="0" collapsed="false">
      <c r="B6" s="5" t="s">
        <v>3</v>
      </c>
      <c r="C6" s="5"/>
      <c r="D6" s="5"/>
      <c r="E6" s="5"/>
      <c r="F6" s="5"/>
      <c r="G6" s="5"/>
    </row>
    <row r="7" customFormat="false" ht="15" hidden="false" customHeight="true" outlineLevel="0" collapsed="false">
      <c r="B7" s="5"/>
      <c r="C7" s="5"/>
      <c r="D7" s="5"/>
      <c r="E7" s="5"/>
      <c r="F7" s="5"/>
      <c r="G7" s="5"/>
    </row>
    <row r="8" customFormat="false" ht="15" hidden="false" customHeight="true" outlineLevel="0" collapsed="false">
      <c r="B8" s="5"/>
      <c r="C8" s="5"/>
      <c r="D8" s="5"/>
      <c r="E8" s="5"/>
      <c r="F8" s="5"/>
      <c r="G8" s="5"/>
    </row>
    <row r="9" customFormat="false" ht="15" hidden="false" customHeight="true" outlineLevel="0" collapsed="false">
      <c r="B9" s="5"/>
      <c r="C9" s="5"/>
      <c r="D9" s="5"/>
      <c r="E9" s="5"/>
      <c r="F9" s="5"/>
      <c r="G9" s="5"/>
    </row>
    <row r="11" customFormat="false" ht="15" hidden="false" customHeight="true" outlineLevel="0" collapsed="false">
      <c r="B11" s="4" t="s">
        <v>4</v>
      </c>
      <c r="C11" s="4"/>
      <c r="D11" s="4"/>
      <c r="E11" s="4"/>
      <c r="F11" s="4"/>
      <c r="G11" s="4"/>
    </row>
    <row r="13" customFormat="false" ht="30" hidden="false" customHeight="true" outlineLevel="0" collapsed="false">
      <c r="B13" s="6" t="s">
        <v>5</v>
      </c>
      <c r="C13" s="5" t="s">
        <v>6</v>
      </c>
      <c r="D13" s="5"/>
      <c r="E13" s="5"/>
      <c r="F13" s="5"/>
      <c r="G13" s="5"/>
    </row>
    <row r="14" customFormat="false" ht="30" hidden="false" customHeight="true" outlineLevel="0" collapsed="false">
      <c r="B14" s="6" t="s">
        <v>7</v>
      </c>
      <c r="C14" s="5" t="s">
        <v>8</v>
      </c>
      <c r="D14" s="5"/>
      <c r="E14" s="5"/>
      <c r="F14" s="5"/>
      <c r="G14" s="5"/>
    </row>
    <row r="15" customFormat="false" ht="30" hidden="false" customHeight="true" outlineLevel="0" collapsed="false">
      <c r="B15" s="6" t="s">
        <v>9</v>
      </c>
      <c r="C15" s="5" t="s">
        <v>10</v>
      </c>
      <c r="D15" s="5"/>
      <c r="E15" s="5"/>
      <c r="F15" s="5"/>
      <c r="G15" s="5"/>
    </row>
    <row r="16" customFormat="false" ht="30" hidden="false" customHeight="true" outlineLevel="0" collapsed="false">
      <c r="B16" s="6" t="s">
        <v>11</v>
      </c>
      <c r="C16" s="5" t="s">
        <v>12</v>
      </c>
      <c r="D16" s="5"/>
      <c r="E16" s="5"/>
      <c r="F16" s="5"/>
      <c r="G16" s="5"/>
    </row>
    <row r="17" customFormat="false" ht="30" hidden="false" customHeight="true" outlineLevel="0" collapsed="false">
      <c r="B17" s="6" t="s">
        <v>13</v>
      </c>
      <c r="C17" s="5" t="s">
        <v>14</v>
      </c>
      <c r="D17" s="5"/>
      <c r="E17" s="5"/>
      <c r="F17" s="5"/>
      <c r="G17" s="5"/>
    </row>
    <row r="20" customFormat="false" ht="15" hidden="false" customHeight="true" outlineLevel="0" collapsed="false">
      <c r="B20" s="4" t="s">
        <v>15</v>
      </c>
      <c r="C20" s="4"/>
      <c r="D20" s="4"/>
      <c r="E20" s="4"/>
      <c r="F20" s="4"/>
      <c r="G20" s="4"/>
    </row>
    <row r="22" customFormat="false" ht="31.5" hidden="false" customHeight="true" outlineLevel="0" collapsed="false">
      <c r="B22" s="7" t="s">
        <v>16</v>
      </c>
      <c r="C22" s="8" t="s">
        <v>17</v>
      </c>
      <c r="D22" s="8"/>
      <c r="E22" s="8"/>
      <c r="F22" s="8"/>
      <c r="G22" s="8"/>
    </row>
    <row r="23" customFormat="false" ht="31.5" hidden="false" customHeight="true" outlineLevel="0" collapsed="false">
      <c r="B23" s="7" t="s">
        <v>18</v>
      </c>
      <c r="C23" s="8" t="s">
        <v>19</v>
      </c>
      <c r="D23" s="8"/>
      <c r="E23" s="8"/>
      <c r="F23" s="8"/>
      <c r="G23" s="8"/>
    </row>
    <row r="24" customFormat="false" ht="31.5" hidden="false" customHeight="true" outlineLevel="0" collapsed="false">
      <c r="B24" s="7" t="s">
        <v>20</v>
      </c>
      <c r="C24" s="8" t="s">
        <v>21</v>
      </c>
      <c r="D24" s="8"/>
      <c r="E24" s="8"/>
      <c r="F24" s="8"/>
      <c r="G24" s="8"/>
    </row>
    <row r="25" customFormat="false" ht="31.5" hidden="false" customHeight="true" outlineLevel="0" collapsed="false">
      <c r="B25" s="7" t="s">
        <v>22</v>
      </c>
      <c r="C25" s="8" t="s">
        <v>23</v>
      </c>
      <c r="D25" s="8"/>
      <c r="E25" s="8"/>
      <c r="F25" s="8"/>
      <c r="G25" s="8"/>
    </row>
    <row r="26" customFormat="false" ht="31.5" hidden="false" customHeight="true" outlineLevel="0" collapsed="false">
      <c r="B26" s="7" t="s">
        <v>24</v>
      </c>
      <c r="C26" s="8" t="s">
        <v>25</v>
      </c>
      <c r="D26" s="8"/>
      <c r="E26" s="8"/>
      <c r="F26" s="8"/>
      <c r="G26" s="8"/>
    </row>
    <row r="30" customFormat="false" ht="31.5" hidden="false" customHeight="true" outlineLevel="0" collapsed="false">
      <c r="B30" s="9" t="s">
        <v>26</v>
      </c>
      <c r="C30" s="9"/>
      <c r="D30" s="9"/>
      <c r="E30" s="9"/>
      <c r="F30" s="9"/>
      <c r="G30" s="9"/>
    </row>
  </sheetData>
  <mergeCells count="15">
    <mergeCell ref="B5:G5"/>
    <mergeCell ref="B6:G9"/>
    <mergeCell ref="B11:G11"/>
    <mergeCell ref="C13:G13"/>
    <mergeCell ref="C14:G14"/>
    <mergeCell ref="C15:G15"/>
    <mergeCell ref="C16:G16"/>
    <mergeCell ref="C17:G17"/>
    <mergeCell ref="B20:G20"/>
    <mergeCell ref="C22:G22"/>
    <mergeCell ref="C23:G23"/>
    <mergeCell ref="C24:G24"/>
    <mergeCell ref="C25:G25"/>
    <mergeCell ref="C26:G26"/>
    <mergeCell ref="B30:G3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0"/>
    <col collapsed="false" customWidth="true" hidden="false" outlineLevel="0" max="2" min="2" style="1" width="9"/>
    <col collapsed="false" customWidth="true" hidden="false" outlineLevel="0" max="3" min="3" style="1" width="14"/>
    <col collapsed="false" customWidth="true" hidden="false" outlineLevel="0" max="4" min="4" style="1" width="8"/>
    <col collapsed="false" customWidth="true" hidden="false" outlineLevel="0" max="5" min="5" style="1" width="11"/>
    <col collapsed="false" customWidth="true" hidden="false" outlineLevel="0" max="6" min="6" style="1" width="13"/>
    <col collapsed="false" customWidth="true" hidden="false" outlineLevel="0" max="7" min="7" style="1" width="22"/>
    <col collapsed="false" customWidth="true" hidden="false" outlineLevel="0" max="8" min="8" style="1" width="17"/>
    <col collapsed="false" customWidth="true" hidden="false" outlineLevel="0" max="9" min="9" style="1" width="14"/>
    <col collapsed="false" customWidth="true" hidden="false" outlineLevel="0" max="10" min="10" style="1" width="17"/>
    <col collapsed="false" customWidth="true" hidden="false" outlineLevel="0" max="11" min="11" style="1" width="19"/>
    <col collapsed="false" customWidth="true" hidden="false" outlineLevel="0" max="12" min="12" style="1" width="36"/>
  </cols>
  <sheetData>
    <row r="1" customFormat="false" ht="21.75" hidden="false" customHeight="true" outlineLevel="0" collapsed="false">
      <c r="A1" s="10" t="s">
        <v>27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</row>
    <row r="2" customFormat="false" ht="15" hidden="false" customHeight="true" outlineLevel="0" collapsed="false">
      <c r="A2" s="11" t="s">
        <v>28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</row>
    <row r="4" customFormat="false" ht="37.5" hidden="false" customHeight="true" outlineLevel="0" collapsed="false">
      <c r="A4" s="12" t="s">
        <v>29</v>
      </c>
      <c r="B4" s="12" t="s">
        <v>30</v>
      </c>
      <c r="C4" s="12" t="s">
        <v>31</v>
      </c>
      <c r="D4" s="12" t="s">
        <v>32</v>
      </c>
      <c r="E4" s="12" t="s">
        <v>33</v>
      </c>
      <c r="F4" s="12" t="s">
        <v>34</v>
      </c>
      <c r="G4" s="12" t="s">
        <v>35</v>
      </c>
      <c r="H4" s="12" t="s">
        <v>36</v>
      </c>
      <c r="I4" s="12" t="s">
        <v>37</v>
      </c>
      <c r="J4" s="12" t="s">
        <v>38</v>
      </c>
      <c r="K4" s="12" t="s">
        <v>39</v>
      </c>
      <c r="L4" s="12" t="s">
        <v>40</v>
      </c>
    </row>
    <row r="5" customFormat="false" ht="23.25" hidden="false" customHeight="true" outlineLevel="0" collapsed="false">
      <c r="A5" s="13" t="s">
        <v>41</v>
      </c>
      <c r="B5" s="13" t="n">
        <v>4</v>
      </c>
      <c r="C5" s="13" t="s">
        <v>42</v>
      </c>
      <c r="D5" s="13" t="n">
        <v>1</v>
      </c>
      <c r="E5" s="13" t="n">
        <v>6</v>
      </c>
      <c r="F5" s="13" t="n">
        <v>6</v>
      </c>
      <c r="G5" s="13" t="s">
        <v>43</v>
      </c>
      <c r="H5" s="13" t="n">
        <v>1</v>
      </c>
      <c r="I5" s="13" t="n">
        <v>7</v>
      </c>
      <c r="J5" s="13" t="n">
        <v>6</v>
      </c>
      <c r="K5" s="13" t="n">
        <v>119</v>
      </c>
      <c r="L5" s="14" t="s">
        <v>44</v>
      </c>
    </row>
    <row r="6" customFormat="false" ht="23.25" hidden="false" customHeight="true" outlineLevel="0" collapsed="false">
      <c r="A6" s="13" t="s">
        <v>41</v>
      </c>
      <c r="B6" s="13" t="n">
        <v>5</v>
      </c>
      <c r="C6" s="13" t="s">
        <v>42</v>
      </c>
      <c r="D6" s="13" t="n">
        <v>1</v>
      </c>
      <c r="E6" s="13" t="n">
        <v>5</v>
      </c>
      <c r="F6" s="13" t="n">
        <v>4</v>
      </c>
      <c r="G6" s="13" t="s">
        <v>43</v>
      </c>
      <c r="H6" s="13" t="n">
        <v>1</v>
      </c>
      <c r="I6" s="13" t="n">
        <v>6</v>
      </c>
      <c r="J6" s="13" t="n">
        <v>4</v>
      </c>
      <c r="K6" s="13" t="n">
        <v>102</v>
      </c>
      <c r="L6" s="14" t="s">
        <v>45</v>
      </c>
    </row>
    <row r="7" customFormat="false" ht="15" hidden="false" customHeight="true" outlineLevel="0" collapsed="false">
      <c r="A7" s="13" t="s">
        <v>41</v>
      </c>
      <c r="B7" s="13" t="n">
        <v>6</v>
      </c>
      <c r="C7" s="13" t="s">
        <v>42</v>
      </c>
      <c r="D7" s="13" t="n">
        <v>1</v>
      </c>
      <c r="E7" s="13" t="n">
        <v>6</v>
      </c>
      <c r="F7" s="13" t="n">
        <v>4</v>
      </c>
      <c r="G7" s="13" t="s">
        <v>43</v>
      </c>
      <c r="H7" s="13" t="n">
        <v>1</v>
      </c>
      <c r="I7" s="13" t="n">
        <v>7</v>
      </c>
      <c r="J7" s="13" t="n">
        <v>4</v>
      </c>
      <c r="K7" s="13" t="n">
        <v>119</v>
      </c>
      <c r="L7" s="14" t="s">
        <v>46</v>
      </c>
    </row>
    <row r="8" customFormat="false" ht="15" hidden="false" customHeight="true" outlineLevel="0" collapsed="false">
      <c r="A8" s="13" t="s">
        <v>41</v>
      </c>
      <c r="B8" s="13" t="n">
        <v>7</v>
      </c>
      <c r="C8" s="13" t="s">
        <v>42</v>
      </c>
      <c r="D8" s="13" t="n">
        <v>1</v>
      </c>
      <c r="E8" s="13" t="n">
        <v>7</v>
      </c>
      <c r="F8" s="13" t="n">
        <v>4</v>
      </c>
      <c r="G8" s="13" t="s">
        <v>43</v>
      </c>
      <c r="H8" s="13" t="n">
        <v>1</v>
      </c>
      <c r="I8" s="13" t="n">
        <v>8</v>
      </c>
      <c r="J8" s="13" t="n">
        <v>4</v>
      </c>
      <c r="K8" s="13" t="n">
        <v>136</v>
      </c>
      <c r="L8" s="14" t="s">
        <v>47</v>
      </c>
    </row>
    <row r="9" customFormat="false" ht="15" hidden="false" customHeight="true" outlineLevel="0" collapsed="false">
      <c r="A9" s="13" t="s">
        <v>41</v>
      </c>
      <c r="B9" s="13" t="n">
        <v>8</v>
      </c>
      <c r="C9" s="13" t="s">
        <v>42</v>
      </c>
      <c r="D9" s="13" t="n">
        <v>2</v>
      </c>
      <c r="E9" s="13" t="n">
        <v>6</v>
      </c>
      <c r="F9" s="13" t="n">
        <v>6</v>
      </c>
      <c r="G9" s="13" t="s">
        <v>48</v>
      </c>
      <c r="H9" s="13" t="n">
        <v>2</v>
      </c>
      <c r="I9" s="13" t="n">
        <v>8</v>
      </c>
      <c r="J9" s="13" t="n">
        <v>6</v>
      </c>
      <c r="K9" s="13" t="n">
        <v>136</v>
      </c>
      <c r="L9" s="14"/>
    </row>
    <row r="10" customFormat="false" ht="15" hidden="false" customHeight="true" outlineLevel="0" collapsed="false">
      <c r="A10" s="13" t="s">
        <v>41</v>
      </c>
      <c r="B10" s="13" t="n">
        <v>9</v>
      </c>
      <c r="C10" s="13" t="s">
        <v>42</v>
      </c>
      <c r="D10" s="13" t="n">
        <v>2</v>
      </c>
      <c r="E10" s="13" t="n">
        <v>6</v>
      </c>
      <c r="F10" s="13" t="s">
        <v>49</v>
      </c>
      <c r="G10" s="13" t="s">
        <v>48</v>
      </c>
      <c r="H10" s="13" t="n">
        <v>2</v>
      </c>
      <c r="I10" s="13" t="n">
        <v>8</v>
      </c>
      <c r="J10" s="13" t="n">
        <v>5</v>
      </c>
      <c r="K10" s="13" t="n">
        <v>136</v>
      </c>
      <c r="L10" s="14" t="s">
        <v>50</v>
      </c>
    </row>
    <row r="11" customFormat="false" ht="15" hidden="false" customHeight="true" outlineLevel="0" collapsed="false">
      <c r="A11" s="13" t="s">
        <v>41</v>
      </c>
      <c r="B11" s="13" t="n">
        <v>10</v>
      </c>
      <c r="C11" s="13" t="s">
        <v>42</v>
      </c>
      <c r="D11" s="13" t="n">
        <v>2</v>
      </c>
      <c r="E11" s="13" t="n">
        <v>6</v>
      </c>
      <c r="F11" s="13" t="s">
        <v>51</v>
      </c>
      <c r="G11" s="13" t="s">
        <v>48</v>
      </c>
      <c r="H11" s="13" t="n">
        <v>2</v>
      </c>
      <c r="I11" s="13" t="n">
        <v>8</v>
      </c>
      <c r="J11" s="13" t="n">
        <v>4</v>
      </c>
      <c r="K11" s="13" t="n">
        <v>136</v>
      </c>
      <c r="L11" s="14" t="s">
        <v>46</v>
      </c>
    </row>
    <row r="12" customFormat="false" ht="15" hidden="false" customHeight="true" outlineLevel="0" collapsed="false">
      <c r="A12" s="13" t="s">
        <v>41</v>
      </c>
      <c r="B12" s="13" t="n">
        <v>11</v>
      </c>
      <c r="C12" s="13" t="s">
        <v>42</v>
      </c>
      <c r="D12" s="13" t="n">
        <v>2</v>
      </c>
      <c r="E12" s="13" t="n">
        <v>7</v>
      </c>
      <c r="F12" s="13" t="s">
        <v>49</v>
      </c>
      <c r="G12" s="13" t="s">
        <v>48</v>
      </c>
      <c r="H12" s="13" t="n">
        <v>2</v>
      </c>
      <c r="I12" s="13" t="n">
        <v>9</v>
      </c>
      <c r="J12" s="13" t="n">
        <v>5</v>
      </c>
      <c r="K12" s="13" t="n">
        <v>153</v>
      </c>
      <c r="L12" s="14" t="s">
        <v>47</v>
      </c>
    </row>
    <row r="13" customFormat="false" ht="15" hidden="false" customHeight="true" outlineLevel="0" collapsed="false">
      <c r="A13" s="13" t="s">
        <v>41</v>
      </c>
      <c r="B13" s="13" t="n">
        <v>12</v>
      </c>
      <c r="C13" s="13" t="s">
        <v>42</v>
      </c>
      <c r="D13" s="13" t="n">
        <v>3</v>
      </c>
      <c r="E13" s="13" t="n">
        <v>6</v>
      </c>
      <c r="F13" s="13" t="n">
        <v>6</v>
      </c>
      <c r="G13" s="13" t="s">
        <v>52</v>
      </c>
      <c r="H13" s="13" t="n">
        <v>2</v>
      </c>
      <c r="I13" s="13" t="n">
        <v>8</v>
      </c>
      <c r="J13" s="13" t="n">
        <v>6</v>
      </c>
      <c r="K13" s="13" t="n">
        <v>136</v>
      </c>
      <c r="L13" s="14"/>
    </row>
    <row r="14" customFormat="false" ht="15" hidden="false" customHeight="true" outlineLevel="0" collapsed="false">
      <c r="A14" s="13" t="s">
        <v>41</v>
      </c>
      <c r="B14" s="13" t="n">
        <v>13</v>
      </c>
      <c r="C14" s="13" t="s">
        <v>42</v>
      </c>
      <c r="D14" s="13" t="n">
        <v>3</v>
      </c>
      <c r="E14" s="13" t="n">
        <v>6</v>
      </c>
      <c r="F14" s="13" t="s">
        <v>49</v>
      </c>
      <c r="G14" s="13" t="s">
        <v>52</v>
      </c>
      <c r="H14" s="13" t="n">
        <v>2</v>
      </c>
      <c r="I14" s="13" t="n">
        <v>8</v>
      </c>
      <c r="J14" s="13" t="n">
        <v>5</v>
      </c>
      <c r="K14" s="13" t="n">
        <v>136</v>
      </c>
      <c r="L14" s="14" t="s">
        <v>50</v>
      </c>
    </row>
    <row r="15" customFormat="false" ht="15" hidden="false" customHeight="true" outlineLevel="0" collapsed="false">
      <c r="A15" s="13" t="s">
        <v>41</v>
      </c>
      <c r="B15" s="13" t="n">
        <v>14</v>
      </c>
      <c r="C15" s="13" t="s">
        <v>42</v>
      </c>
      <c r="D15" s="13" t="n">
        <v>3</v>
      </c>
      <c r="E15" s="13" t="n">
        <v>6</v>
      </c>
      <c r="F15" s="13" t="s">
        <v>49</v>
      </c>
      <c r="G15" s="13" t="s">
        <v>52</v>
      </c>
      <c r="H15" s="13" t="n">
        <v>2</v>
      </c>
      <c r="I15" s="13" t="n">
        <v>8</v>
      </c>
      <c r="J15" s="13" t="n">
        <v>5</v>
      </c>
      <c r="K15" s="13" t="n">
        <v>136</v>
      </c>
      <c r="L15" s="14" t="s">
        <v>46</v>
      </c>
    </row>
    <row r="16" customFormat="false" ht="15" hidden="false" customHeight="true" outlineLevel="0" collapsed="false">
      <c r="A16" s="13" t="s">
        <v>41</v>
      </c>
      <c r="B16" s="13" t="n">
        <v>15</v>
      </c>
      <c r="C16" s="13" t="s">
        <v>42</v>
      </c>
      <c r="D16" s="13" t="n">
        <v>3</v>
      </c>
      <c r="E16" s="13" t="n">
        <v>6</v>
      </c>
      <c r="F16" s="13" t="s">
        <v>51</v>
      </c>
      <c r="G16" s="13" t="s">
        <v>52</v>
      </c>
      <c r="H16" s="13" t="n">
        <v>2</v>
      </c>
      <c r="I16" s="13" t="n">
        <v>8</v>
      </c>
      <c r="J16" s="13" t="n">
        <v>4</v>
      </c>
      <c r="K16" s="13" t="n">
        <v>136</v>
      </c>
      <c r="L16" s="14" t="s">
        <v>47</v>
      </c>
    </row>
    <row r="17" customFormat="false" ht="15" hidden="false" customHeight="true" outlineLevel="0" collapsed="false">
      <c r="A17" s="13" t="s">
        <v>41</v>
      </c>
      <c r="B17" s="13" t="n">
        <v>16</v>
      </c>
      <c r="C17" s="13" t="s">
        <v>42</v>
      </c>
      <c r="D17" s="13" t="n">
        <v>4</v>
      </c>
      <c r="E17" s="13" t="n">
        <v>6</v>
      </c>
      <c r="F17" s="13" t="n">
        <v>6</v>
      </c>
      <c r="G17" s="13" t="s">
        <v>52</v>
      </c>
      <c r="H17" s="13" t="n">
        <v>2</v>
      </c>
      <c r="I17" s="13" t="n">
        <v>8</v>
      </c>
      <c r="J17" s="13" t="n">
        <v>6</v>
      </c>
      <c r="K17" s="13" t="n">
        <v>136</v>
      </c>
      <c r="L17" s="14"/>
    </row>
    <row r="18" customFormat="false" ht="15" hidden="false" customHeight="true" outlineLevel="0" collapsed="false">
      <c r="A18" s="13" t="s">
        <v>41</v>
      </c>
      <c r="B18" s="13" t="n">
        <v>17</v>
      </c>
      <c r="C18" s="13" t="s">
        <v>42</v>
      </c>
      <c r="D18" s="13" t="n">
        <v>4</v>
      </c>
      <c r="E18" s="13" t="n">
        <v>6</v>
      </c>
      <c r="F18" s="13" t="s">
        <v>49</v>
      </c>
      <c r="G18" s="13" t="s">
        <v>52</v>
      </c>
      <c r="H18" s="13" t="n">
        <v>2</v>
      </c>
      <c r="I18" s="13" t="n">
        <v>8</v>
      </c>
      <c r="J18" s="13" t="n">
        <v>5</v>
      </c>
      <c r="K18" s="13" t="n">
        <v>136</v>
      </c>
      <c r="L18" s="14" t="s">
        <v>50</v>
      </c>
    </row>
    <row r="19" customFormat="false" ht="15" hidden="false" customHeight="true" outlineLevel="0" collapsed="false">
      <c r="A19" s="13" t="s">
        <v>41</v>
      </c>
      <c r="B19" s="13" t="n">
        <v>18</v>
      </c>
      <c r="C19" s="13" t="s">
        <v>42</v>
      </c>
      <c r="D19" s="13" t="n">
        <v>4</v>
      </c>
      <c r="E19" s="13" t="n">
        <v>6</v>
      </c>
      <c r="F19" s="13" t="s">
        <v>49</v>
      </c>
      <c r="G19" s="13" t="s">
        <v>52</v>
      </c>
      <c r="H19" s="13" t="n">
        <v>2</v>
      </c>
      <c r="I19" s="13" t="n">
        <v>8</v>
      </c>
      <c r="J19" s="13" t="n">
        <v>5</v>
      </c>
      <c r="K19" s="13" t="n">
        <v>136</v>
      </c>
      <c r="L19" s="14" t="s">
        <v>46</v>
      </c>
    </row>
    <row r="21" customFormat="false" ht="23.25" hidden="false" customHeight="true" outlineLevel="0" collapsed="false">
      <c r="A21" s="15" t="s">
        <v>53</v>
      </c>
      <c r="B21" s="15" t="n">
        <v>6</v>
      </c>
      <c r="C21" s="15" t="s">
        <v>54</v>
      </c>
      <c r="D21" s="15" t="n">
        <v>1</v>
      </c>
      <c r="E21" s="15" t="n">
        <v>6</v>
      </c>
      <c r="F21" s="15" t="n">
        <v>4</v>
      </c>
      <c r="G21" s="15" t="s">
        <v>55</v>
      </c>
      <c r="H21" s="15" t="n">
        <v>1</v>
      </c>
      <c r="I21" s="15" t="n">
        <v>7</v>
      </c>
      <c r="J21" s="15" t="n">
        <v>4</v>
      </c>
      <c r="K21" s="15" t="n">
        <v>119</v>
      </c>
      <c r="L21" s="16" t="s">
        <v>56</v>
      </c>
    </row>
    <row r="22" customFormat="false" ht="15" hidden="false" customHeight="true" outlineLevel="0" collapsed="false">
      <c r="A22" s="15" t="s">
        <v>53</v>
      </c>
      <c r="B22" s="15" t="n">
        <v>8</v>
      </c>
      <c r="C22" s="15" t="s">
        <v>57</v>
      </c>
      <c r="D22" s="15" t="n">
        <v>2</v>
      </c>
      <c r="E22" s="15" t="n">
        <v>3</v>
      </c>
      <c r="F22" s="15" t="n">
        <v>3</v>
      </c>
      <c r="G22" s="15" t="s">
        <v>58</v>
      </c>
      <c r="H22" s="15" t="n">
        <v>1</v>
      </c>
      <c r="I22" s="15" t="n">
        <v>5</v>
      </c>
      <c r="J22" s="15" t="n">
        <v>4</v>
      </c>
      <c r="K22" s="15" t="n">
        <v>85</v>
      </c>
      <c r="L22" s="16" t="s">
        <v>59</v>
      </c>
    </row>
    <row r="23" customFormat="false" ht="23.25" hidden="false" customHeight="true" outlineLevel="0" collapsed="false">
      <c r="A23" s="15" t="s">
        <v>53</v>
      </c>
      <c r="B23" s="15" t="n">
        <v>10</v>
      </c>
      <c r="C23" s="15" t="s">
        <v>60</v>
      </c>
      <c r="D23" s="15" t="n">
        <v>2</v>
      </c>
      <c r="E23" s="15" t="n">
        <v>5</v>
      </c>
      <c r="F23" s="15" t="n">
        <v>4</v>
      </c>
      <c r="G23" s="15" t="s">
        <v>58</v>
      </c>
      <c r="H23" s="15" t="n">
        <v>1</v>
      </c>
      <c r="I23" s="15" t="n">
        <v>7</v>
      </c>
      <c r="J23" s="15" t="n">
        <v>4</v>
      </c>
      <c r="K23" s="15" t="n">
        <v>119</v>
      </c>
      <c r="L23" s="16" t="s">
        <v>61</v>
      </c>
    </row>
    <row r="24" customFormat="false" ht="15" hidden="false" customHeight="true" outlineLevel="0" collapsed="false">
      <c r="A24" s="15" t="s">
        <v>53</v>
      </c>
      <c r="B24" s="15" t="n">
        <v>12</v>
      </c>
      <c r="C24" s="15" t="s">
        <v>62</v>
      </c>
      <c r="D24" s="15" t="n">
        <v>3</v>
      </c>
      <c r="E24" s="15" t="n">
        <v>5</v>
      </c>
      <c r="F24" s="15" t="n">
        <v>5</v>
      </c>
      <c r="G24" s="15" t="s">
        <v>58</v>
      </c>
      <c r="H24" s="15" t="n">
        <v>1</v>
      </c>
      <c r="I24" s="15" t="n">
        <v>7</v>
      </c>
      <c r="J24" s="15" t="n">
        <v>5</v>
      </c>
      <c r="K24" s="15" t="n">
        <v>119</v>
      </c>
      <c r="L24" s="16" t="s">
        <v>63</v>
      </c>
    </row>
    <row r="25" customFormat="false" ht="23.25" hidden="false" customHeight="true" outlineLevel="0" collapsed="false">
      <c r="A25" s="15" t="s">
        <v>53</v>
      </c>
      <c r="B25" s="15" t="n">
        <v>14</v>
      </c>
      <c r="C25" s="15" t="s">
        <v>64</v>
      </c>
      <c r="D25" s="15" t="n">
        <v>3</v>
      </c>
      <c r="E25" s="15" t="n">
        <v>7</v>
      </c>
      <c r="F25" s="15" t="n">
        <v>6</v>
      </c>
      <c r="G25" s="15" t="s">
        <v>58</v>
      </c>
      <c r="H25" s="15" t="n">
        <v>1</v>
      </c>
      <c r="I25" s="15" t="n">
        <v>9</v>
      </c>
      <c r="J25" s="15" t="n">
        <v>6</v>
      </c>
      <c r="K25" s="15" t="n">
        <v>153</v>
      </c>
      <c r="L25" s="16" t="s">
        <v>65</v>
      </c>
    </row>
    <row r="26" customFormat="false" ht="15" hidden="false" customHeight="true" outlineLevel="0" collapsed="false">
      <c r="A26" s="15" t="s">
        <v>53</v>
      </c>
      <c r="B26" s="15" t="n">
        <v>16</v>
      </c>
      <c r="C26" s="15" t="s">
        <v>66</v>
      </c>
      <c r="D26" s="15" t="n">
        <v>4</v>
      </c>
      <c r="E26" s="15" t="n">
        <v>4</v>
      </c>
      <c r="F26" s="15" t="n">
        <v>4</v>
      </c>
      <c r="G26" s="15" t="s">
        <v>58</v>
      </c>
      <c r="H26" s="15" t="n">
        <v>1</v>
      </c>
      <c r="I26" s="15" t="n">
        <v>6</v>
      </c>
      <c r="J26" s="15" t="n">
        <v>4</v>
      </c>
      <c r="K26" s="15" t="n">
        <v>102</v>
      </c>
      <c r="L26" s="16" t="s">
        <v>67</v>
      </c>
    </row>
    <row r="27" customFormat="false" ht="23.25" hidden="false" customHeight="true" outlineLevel="0" collapsed="false">
      <c r="A27" s="15" t="s">
        <v>53</v>
      </c>
      <c r="B27" s="15" t="n">
        <v>18</v>
      </c>
      <c r="C27" s="15" t="s">
        <v>68</v>
      </c>
      <c r="D27" s="15" t="n">
        <v>4</v>
      </c>
      <c r="E27" s="15" t="n">
        <v>5</v>
      </c>
      <c r="F27" s="15" t="n">
        <v>4</v>
      </c>
      <c r="G27" s="15" t="s">
        <v>58</v>
      </c>
      <c r="H27" s="15" t="n">
        <v>1</v>
      </c>
      <c r="I27" s="15" t="n">
        <v>7</v>
      </c>
      <c r="J27" s="15" t="n">
        <v>4</v>
      </c>
      <c r="K27" s="15" t="n">
        <v>119</v>
      </c>
      <c r="L27" s="16" t="s">
        <v>69</v>
      </c>
    </row>
  </sheetData>
  <mergeCells count="2">
    <mergeCell ref="A1:L1"/>
    <mergeCell ref="A2:L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C3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28"/>
    <col collapsed="false" customWidth="true" hidden="false" outlineLevel="0" max="3" min="3" style="1" width="80"/>
  </cols>
  <sheetData>
    <row r="2" customFormat="false" ht="21.75" hidden="false" customHeight="true" outlineLevel="0" collapsed="false">
      <c r="B2" s="17" t="s">
        <v>70</v>
      </c>
    </row>
    <row r="4" customFormat="false" ht="25.5" hidden="false" customHeight="true" outlineLevel="0" collapsed="false">
      <c r="B4" s="18" t="s">
        <v>71</v>
      </c>
      <c r="C4" s="18"/>
    </row>
    <row r="5" customFormat="false" ht="33.75" hidden="false" customHeight="true" outlineLevel="0" collapsed="false">
      <c r="B5" s="19" t="s">
        <v>72</v>
      </c>
      <c r="C5" s="20" t="s">
        <v>73</v>
      </c>
    </row>
    <row r="6" customFormat="false" ht="33.75" hidden="false" customHeight="true" outlineLevel="0" collapsed="false">
      <c r="B6" s="19" t="s">
        <v>74</v>
      </c>
      <c r="C6" s="20" t="s">
        <v>75</v>
      </c>
    </row>
    <row r="8" customFormat="false" ht="25.5" hidden="false" customHeight="true" outlineLevel="0" collapsed="false">
      <c r="B8" s="18" t="s">
        <v>76</v>
      </c>
      <c r="C8" s="18"/>
    </row>
    <row r="9" customFormat="false" ht="33.75" hidden="false" customHeight="true" outlineLevel="0" collapsed="false">
      <c r="B9" s="19" t="s">
        <v>77</v>
      </c>
      <c r="C9" s="20" t="s">
        <v>78</v>
      </c>
    </row>
    <row r="10" customFormat="false" ht="33.75" hidden="false" customHeight="true" outlineLevel="0" collapsed="false">
      <c r="B10" s="19" t="s">
        <v>79</v>
      </c>
      <c r="C10" s="20" t="s">
        <v>80</v>
      </c>
    </row>
    <row r="11" customFormat="false" ht="33.75" hidden="false" customHeight="true" outlineLevel="0" collapsed="false">
      <c r="B11" s="19" t="s">
        <v>81</v>
      </c>
      <c r="C11" s="20" t="s">
        <v>82</v>
      </c>
    </row>
    <row r="12" customFormat="false" ht="33.75" hidden="false" customHeight="true" outlineLevel="0" collapsed="false">
      <c r="B12" s="19" t="s">
        <v>83</v>
      </c>
      <c r="C12" s="20" t="s">
        <v>84</v>
      </c>
    </row>
    <row r="14" customFormat="false" ht="25.5" hidden="false" customHeight="true" outlineLevel="0" collapsed="false">
      <c r="B14" s="18" t="s">
        <v>85</v>
      </c>
      <c r="C14" s="18"/>
    </row>
    <row r="15" customFormat="false" ht="33.75" hidden="false" customHeight="true" outlineLevel="0" collapsed="false">
      <c r="B15" s="19" t="s">
        <v>86</v>
      </c>
      <c r="C15" s="20" t="s">
        <v>87</v>
      </c>
    </row>
    <row r="16" customFormat="false" ht="33.75" hidden="false" customHeight="true" outlineLevel="0" collapsed="false">
      <c r="B16" s="19" t="s">
        <v>48</v>
      </c>
      <c r="C16" s="20" t="s">
        <v>88</v>
      </c>
    </row>
    <row r="17" customFormat="false" ht="33.75" hidden="false" customHeight="true" outlineLevel="0" collapsed="false">
      <c r="B17" s="19" t="s">
        <v>52</v>
      </c>
      <c r="C17" s="20" t="s">
        <v>89</v>
      </c>
    </row>
    <row r="18" customFormat="false" ht="33.75" hidden="false" customHeight="true" outlineLevel="0" collapsed="false">
      <c r="B18" s="19" t="s">
        <v>90</v>
      </c>
      <c r="C18" s="20" t="s">
        <v>91</v>
      </c>
    </row>
    <row r="20" customFormat="false" ht="25.5" hidden="false" customHeight="true" outlineLevel="0" collapsed="false">
      <c r="B20" s="18" t="s">
        <v>92</v>
      </c>
      <c r="C20" s="18"/>
    </row>
    <row r="21" customFormat="false" ht="33.75" hidden="false" customHeight="true" outlineLevel="0" collapsed="false">
      <c r="B21" s="19" t="s">
        <v>93</v>
      </c>
      <c r="C21" s="20" t="s">
        <v>94</v>
      </c>
    </row>
    <row r="22" customFormat="false" ht="33.75" hidden="false" customHeight="true" outlineLevel="0" collapsed="false">
      <c r="B22" s="19" t="s">
        <v>95</v>
      </c>
      <c r="C22" s="20" t="s">
        <v>96</v>
      </c>
    </row>
    <row r="23" customFormat="false" ht="33.75" hidden="false" customHeight="true" outlineLevel="0" collapsed="false">
      <c r="B23" s="19" t="s">
        <v>97</v>
      </c>
      <c r="C23" s="20" t="s">
        <v>98</v>
      </c>
    </row>
    <row r="24" customFormat="false" ht="33.75" hidden="false" customHeight="true" outlineLevel="0" collapsed="false">
      <c r="B24" s="19" t="s">
        <v>99</v>
      </c>
      <c r="C24" s="20" t="s">
        <v>100</v>
      </c>
    </row>
    <row r="26" customFormat="false" ht="25.5" hidden="false" customHeight="true" outlineLevel="0" collapsed="false">
      <c r="B26" s="18" t="s">
        <v>101</v>
      </c>
      <c r="C26" s="18"/>
    </row>
    <row r="27" customFormat="false" ht="33.75" hidden="false" customHeight="true" outlineLevel="0" collapsed="false">
      <c r="B27" s="19" t="s">
        <v>102</v>
      </c>
      <c r="C27" s="20" t="s">
        <v>103</v>
      </c>
    </row>
    <row r="28" customFormat="false" ht="33.75" hidden="false" customHeight="true" outlineLevel="0" collapsed="false">
      <c r="B28" s="19" t="s">
        <v>104</v>
      </c>
      <c r="C28" s="20" t="s">
        <v>105</v>
      </c>
    </row>
    <row r="29" customFormat="false" ht="33.75" hidden="false" customHeight="true" outlineLevel="0" collapsed="false">
      <c r="B29" s="19" t="s">
        <v>106</v>
      </c>
      <c r="C29" s="20" t="s">
        <v>107</v>
      </c>
    </row>
    <row r="31" customFormat="false" ht="25.5" hidden="false" customHeight="true" outlineLevel="0" collapsed="false">
      <c r="B31" s="18" t="s">
        <v>108</v>
      </c>
      <c r="C31" s="18"/>
    </row>
    <row r="32" customFormat="false" ht="33.75" hidden="false" customHeight="true" outlineLevel="0" collapsed="false">
      <c r="B32" s="19" t="s">
        <v>109</v>
      </c>
      <c r="C32" s="20" t="s">
        <v>110</v>
      </c>
    </row>
    <row r="33" customFormat="false" ht="33.75" hidden="false" customHeight="true" outlineLevel="0" collapsed="false">
      <c r="B33" s="19" t="s">
        <v>111</v>
      </c>
      <c r="C33" s="20" t="s">
        <v>112</v>
      </c>
    </row>
    <row r="34" customFormat="false" ht="33.75" hidden="false" customHeight="true" outlineLevel="0" collapsed="false">
      <c r="B34" s="19" t="s">
        <v>113</v>
      </c>
      <c r="C34" s="20" t="s">
        <v>114</v>
      </c>
    </row>
  </sheetData>
  <mergeCells count="6">
    <mergeCell ref="B4:C4"/>
    <mergeCell ref="B8:C8"/>
    <mergeCell ref="B14:C14"/>
    <mergeCell ref="B20:C20"/>
    <mergeCell ref="B26:C26"/>
    <mergeCell ref="B31:C3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H4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22"/>
    <col collapsed="false" customWidth="true" hidden="false" outlineLevel="0" max="8" min="3" style="1" width="14"/>
  </cols>
  <sheetData>
    <row r="2" customFormat="false" ht="24" hidden="false" customHeight="true" outlineLevel="0" collapsed="false">
      <c r="B2" s="21" t="s">
        <v>115</v>
      </c>
      <c r="C2" s="21"/>
      <c r="D2" s="21"/>
      <c r="E2" s="21"/>
      <c r="F2" s="21"/>
      <c r="G2" s="21"/>
      <c r="H2" s="21"/>
    </row>
    <row r="3" customFormat="false" ht="15" hidden="false" customHeight="true" outlineLevel="0" collapsed="false">
      <c r="B3" s="22" t="s">
        <v>116</v>
      </c>
      <c r="C3" s="22"/>
      <c r="D3" s="22"/>
      <c r="E3" s="22"/>
      <c r="F3" s="22"/>
      <c r="G3" s="22"/>
      <c r="H3" s="22"/>
    </row>
    <row r="5" customFormat="false" ht="21.75" hidden="false" customHeight="true" outlineLevel="0" collapsed="false">
      <c r="B5" s="23" t="s">
        <v>117</v>
      </c>
      <c r="C5" s="23"/>
      <c r="D5" s="23"/>
      <c r="E5" s="23"/>
      <c r="F5" s="23"/>
      <c r="G5" s="23"/>
      <c r="H5" s="23"/>
    </row>
    <row r="6" customFormat="false" ht="15" hidden="false" customHeight="true" outlineLevel="0" collapsed="false">
      <c r="B6" s="24" t="s">
        <v>118</v>
      </c>
      <c r="C6" s="25" t="s">
        <v>119</v>
      </c>
      <c r="D6" s="25"/>
      <c r="E6" s="25"/>
    </row>
    <row r="7" customFormat="false" ht="15" hidden="false" customHeight="true" outlineLevel="0" collapsed="false">
      <c r="B7" s="24" t="s">
        <v>120</v>
      </c>
      <c r="C7" s="25" t="s">
        <v>121</v>
      </c>
      <c r="D7" s="25"/>
      <c r="E7" s="25"/>
    </row>
    <row r="8" customFormat="false" ht="15" hidden="false" customHeight="true" outlineLevel="0" collapsed="false">
      <c r="B8" s="24" t="s">
        <v>122</v>
      </c>
      <c r="C8" s="25" t="s">
        <v>123</v>
      </c>
      <c r="D8" s="25"/>
      <c r="E8" s="25"/>
    </row>
    <row r="9" customFormat="false" ht="15" hidden="false" customHeight="true" outlineLevel="0" collapsed="false">
      <c r="B9" s="24" t="s">
        <v>124</v>
      </c>
      <c r="C9" s="25" t="s">
        <v>125</v>
      </c>
      <c r="D9" s="25"/>
      <c r="E9" s="25"/>
    </row>
    <row r="10" customFormat="false" ht="15" hidden="false" customHeight="true" outlineLevel="0" collapsed="false">
      <c r="B10" s="24" t="s">
        <v>126</v>
      </c>
      <c r="C10" s="25" t="s">
        <v>43</v>
      </c>
      <c r="D10" s="25"/>
      <c r="E10" s="25"/>
    </row>
    <row r="11" customFormat="false" ht="15" hidden="false" customHeight="true" outlineLevel="0" collapsed="false">
      <c r="B11" s="24" t="s">
        <v>127</v>
      </c>
      <c r="C11" s="25" t="s">
        <v>128</v>
      </c>
      <c r="D11" s="25"/>
      <c r="E11" s="25"/>
    </row>
    <row r="12" customFormat="false" ht="15" hidden="false" customHeight="true" outlineLevel="0" collapsed="false">
      <c r="B12" s="24" t="s">
        <v>129</v>
      </c>
      <c r="C12" s="25" t="s">
        <v>130</v>
      </c>
      <c r="D12" s="25"/>
      <c r="E12" s="25"/>
    </row>
    <row r="13" customFormat="false" ht="15" hidden="false" customHeight="true" outlineLevel="0" collapsed="false">
      <c r="B13" s="24" t="s">
        <v>131</v>
      </c>
      <c r="C13" s="25" t="s">
        <v>132</v>
      </c>
      <c r="D13" s="25"/>
      <c r="E13" s="25"/>
    </row>
    <row r="14" customFormat="false" ht="15" hidden="false" customHeight="true" outlineLevel="0" collapsed="false">
      <c r="B14" s="24" t="s">
        <v>133</v>
      </c>
      <c r="C14" s="25" t="s">
        <v>134</v>
      </c>
      <c r="D14" s="25"/>
      <c r="E14" s="25"/>
    </row>
    <row r="16" customFormat="false" ht="21.75" hidden="false" customHeight="true" outlineLevel="0" collapsed="false">
      <c r="B16" s="23" t="s">
        <v>135</v>
      </c>
      <c r="C16" s="23"/>
      <c r="D16" s="23"/>
      <c r="E16" s="23"/>
      <c r="F16" s="23"/>
      <c r="G16" s="23"/>
      <c r="H16" s="23"/>
    </row>
    <row r="17" customFormat="false" ht="18" hidden="false" customHeight="true" outlineLevel="0" collapsed="false">
      <c r="B17" s="26" t="s">
        <v>136</v>
      </c>
      <c r="C17" s="26"/>
      <c r="D17" s="26"/>
      <c r="E17" s="26"/>
      <c r="F17" s="26"/>
      <c r="G17" s="26"/>
      <c r="H17" s="26"/>
    </row>
    <row r="18" customFormat="false" ht="18" hidden="false" customHeight="true" outlineLevel="0" collapsed="false">
      <c r="B18" s="26"/>
      <c r="C18" s="26"/>
      <c r="D18" s="26"/>
      <c r="E18" s="26"/>
      <c r="F18" s="26"/>
      <c r="G18" s="26"/>
      <c r="H18" s="26"/>
    </row>
    <row r="19" customFormat="false" ht="18" hidden="false" customHeight="true" outlineLevel="0" collapsed="false">
      <c r="B19" s="26"/>
      <c r="C19" s="26"/>
      <c r="D19" s="26"/>
      <c r="E19" s="26"/>
      <c r="F19" s="26"/>
      <c r="G19" s="26"/>
      <c r="H19" s="26"/>
    </row>
    <row r="20" customFormat="false" ht="18" hidden="false" customHeight="true" outlineLevel="0" collapsed="false">
      <c r="B20" s="26"/>
      <c r="C20" s="26"/>
      <c r="D20" s="26"/>
      <c r="E20" s="26"/>
      <c r="F20" s="26"/>
      <c r="G20" s="26"/>
      <c r="H20" s="26"/>
    </row>
    <row r="22" customFormat="false" ht="21.75" hidden="false" customHeight="true" outlineLevel="0" collapsed="false">
      <c r="B22" s="23" t="s">
        <v>137</v>
      </c>
      <c r="C22" s="23"/>
      <c r="D22" s="23"/>
      <c r="E22" s="23"/>
      <c r="F22" s="23"/>
      <c r="G22" s="23"/>
      <c r="H22" s="23"/>
    </row>
    <row r="23" customFormat="false" ht="30" hidden="false" customHeight="true" outlineLevel="0" collapsed="false">
      <c r="B23" s="27" t="s">
        <v>138</v>
      </c>
      <c r="C23" s="27" t="s">
        <v>139</v>
      </c>
      <c r="D23" s="27" t="s">
        <v>140</v>
      </c>
      <c r="E23" s="27" t="s">
        <v>141</v>
      </c>
      <c r="F23" s="27" t="s">
        <v>142</v>
      </c>
    </row>
    <row r="24" customFormat="false" ht="15" hidden="false" customHeight="true" outlineLevel="0" collapsed="false">
      <c r="B24" s="28" t="n">
        <v>1</v>
      </c>
      <c r="C24" s="28" t="n">
        <v>4</v>
      </c>
      <c r="D24" s="28" t="n">
        <v>0</v>
      </c>
      <c r="E24" s="28" t="n">
        <v>1</v>
      </c>
      <c r="F24" s="28" t="n">
        <v>1</v>
      </c>
    </row>
    <row r="25" customFormat="false" ht="15" hidden="false" customHeight="true" outlineLevel="0" collapsed="false">
      <c r="B25" s="29" t="n">
        <v>2</v>
      </c>
      <c r="C25" s="29" t="n">
        <v>4</v>
      </c>
      <c r="D25" s="29" t="n">
        <v>0</v>
      </c>
      <c r="E25" s="29" t="n">
        <v>1</v>
      </c>
      <c r="F25" s="29" t="n">
        <v>2</v>
      </c>
    </row>
    <row r="26" customFormat="false" ht="15" hidden="false" customHeight="true" outlineLevel="0" collapsed="false">
      <c r="B26" s="28" t="n">
        <v>3</v>
      </c>
      <c r="C26" s="28" t="n">
        <v>4</v>
      </c>
      <c r="D26" s="28" t="n">
        <v>0</v>
      </c>
      <c r="E26" s="28" t="n">
        <v>1</v>
      </c>
      <c r="F26" s="28" t="n">
        <v>3</v>
      </c>
    </row>
    <row r="27" customFormat="false" ht="15" hidden="false" customHeight="true" outlineLevel="0" collapsed="false">
      <c r="B27" s="29" t="n">
        <v>4</v>
      </c>
      <c r="C27" s="29" t="n">
        <v>4</v>
      </c>
      <c r="D27" s="29" t="n">
        <v>0</v>
      </c>
      <c r="E27" s="29" t="n">
        <v>1</v>
      </c>
      <c r="F27" s="29" t="n">
        <v>4</v>
      </c>
    </row>
    <row r="28" customFormat="false" ht="15" hidden="false" customHeight="true" outlineLevel="0" collapsed="false">
      <c r="B28" s="28" t="n">
        <v>5</v>
      </c>
      <c r="C28" s="28" t="n">
        <v>4</v>
      </c>
      <c r="D28" s="28" t="n">
        <v>0</v>
      </c>
      <c r="E28" s="28" t="n">
        <v>1</v>
      </c>
      <c r="F28" s="28" t="n">
        <v>5</v>
      </c>
    </row>
    <row r="29" customFormat="false" ht="15" hidden="false" customHeight="true" outlineLevel="0" collapsed="false">
      <c r="B29" s="29" t="n">
        <v>6</v>
      </c>
      <c r="C29" s="29" t="n">
        <v>4</v>
      </c>
      <c r="D29" s="29" t="n">
        <v>0</v>
      </c>
      <c r="E29" s="29" t="n">
        <v>1</v>
      </c>
      <c r="F29" s="29" t="n">
        <v>6</v>
      </c>
    </row>
    <row r="31" customFormat="false" ht="27.75" hidden="false" customHeight="true" outlineLevel="0" collapsed="false">
      <c r="B31" s="9" t="s">
        <v>143</v>
      </c>
      <c r="C31" s="9"/>
      <c r="D31" s="9"/>
      <c r="E31" s="9"/>
      <c r="F31" s="9"/>
      <c r="G31" s="9"/>
      <c r="H31" s="9"/>
    </row>
    <row r="33" customFormat="false" ht="21.75" hidden="false" customHeight="true" outlineLevel="0" collapsed="false">
      <c r="B33" s="23" t="s">
        <v>144</v>
      </c>
      <c r="C33" s="23"/>
      <c r="D33" s="23"/>
      <c r="E33" s="23"/>
      <c r="F33" s="23"/>
      <c r="G33" s="23"/>
      <c r="H33" s="23"/>
    </row>
    <row r="34" customFormat="false" ht="19.5" hidden="false" customHeight="true" outlineLevel="0" collapsed="false">
      <c r="B34" s="30" t="s">
        <v>145</v>
      </c>
      <c r="C34" s="30"/>
      <c r="D34" s="30"/>
      <c r="E34" s="30"/>
      <c r="F34" s="30"/>
      <c r="G34" s="30"/>
      <c r="H34" s="30"/>
    </row>
    <row r="35" customFormat="false" ht="19.5" hidden="false" customHeight="true" outlineLevel="0" collapsed="false">
      <c r="B35" s="30"/>
      <c r="C35" s="30"/>
      <c r="D35" s="30"/>
      <c r="E35" s="30"/>
      <c r="F35" s="30"/>
      <c r="G35" s="30"/>
      <c r="H35" s="30"/>
    </row>
    <row r="36" customFormat="false" ht="19.5" hidden="false" customHeight="true" outlineLevel="0" collapsed="false">
      <c r="B36" s="30"/>
      <c r="C36" s="30"/>
      <c r="D36" s="30"/>
      <c r="E36" s="30"/>
      <c r="F36" s="30"/>
      <c r="G36" s="30"/>
      <c r="H36" s="30"/>
    </row>
    <row r="37" customFormat="false" ht="19.5" hidden="false" customHeight="true" outlineLevel="0" collapsed="false">
      <c r="B37" s="30"/>
      <c r="C37" s="30"/>
      <c r="D37" s="30"/>
      <c r="E37" s="30"/>
      <c r="F37" s="30"/>
      <c r="G37" s="30"/>
      <c r="H37" s="30"/>
    </row>
    <row r="38" customFormat="false" ht="19.5" hidden="false" customHeight="true" outlineLevel="0" collapsed="false">
      <c r="B38" s="30"/>
      <c r="C38" s="30"/>
      <c r="D38" s="30"/>
      <c r="E38" s="30"/>
      <c r="F38" s="30"/>
      <c r="G38" s="30"/>
      <c r="H38" s="30"/>
    </row>
    <row r="40" customFormat="false" ht="21.75" hidden="false" customHeight="true" outlineLevel="0" collapsed="false">
      <c r="B40" s="23" t="s">
        <v>146</v>
      </c>
      <c r="C40" s="23"/>
      <c r="D40" s="23"/>
      <c r="E40" s="23"/>
      <c r="F40" s="23"/>
      <c r="G40" s="23"/>
      <c r="H40" s="23"/>
    </row>
    <row r="41" customFormat="false" ht="36" hidden="false" customHeight="true" outlineLevel="0" collapsed="false">
      <c r="B41" s="31" t="s">
        <v>147</v>
      </c>
      <c r="C41" s="32" t="s">
        <v>148</v>
      </c>
      <c r="D41" s="32"/>
      <c r="E41" s="32"/>
      <c r="F41" s="32"/>
      <c r="G41" s="32"/>
      <c r="H41" s="32"/>
    </row>
    <row r="42" customFormat="false" ht="36" hidden="false" customHeight="true" outlineLevel="0" collapsed="false">
      <c r="B42" s="31" t="s">
        <v>149</v>
      </c>
      <c r="C42" s="32" t="s">
        <v>150</v>
      </c>
      <c r="D42" s="32"/>
      <c r="E42" s="32"/>
      <c r="F42" s="32"/>
      <c r="G42" s="32"/>
      <c r="H42" s="32"/>
    </row>
    <row r="43" customFormat="false" ht="36" hidden="false" customHeight="true" outlineLevel="0" collapsed="false">
      <c r="B43" s="31" t="s">
        <v>151</v>
      </c>
      <c r="C43" s="32" t="s">
        <v>152</v>
      </c>
      <c r="D43" s="32"/>
      <c r="E43" s="32"/>
      <c r="F43" s="32"/>
      <c r="G43" s="32"/>
      <c r="H43" s="32"/>
    </row>
    <row r="44" customFormat="false" ht="36" hidden="false" customHeight="true" outlineLevel="0" collapsed="false">
      <c r="B44" s="31" t="s">
        <v>153</v>
      </c>
      <c r="C44" s="32" t="s">
        <v>154</v>
      </c>
      <c r="D44" s="32"/>
      <c r="E44" s="32"/>
      <c r="F44" s="32"/>
      <c r="G44" s="32"/>
      <c r="H44" s="32"/>
    </row>
    <row r="45" customFormat="false" ht="36" hidden="false" customHeight="true" outlineLevel="0" collapsed="false">
      <c r="B45" s="31" t="s">
        <v>155</v>
      </c>
      <c r="C45" s="32" t="s">
        <v>156</v>
      </c>
      <c r="D45" s="32"/>
      <c r="E45" s="32"/>
      <c r="F45" s="32"/>
      <c r="G45" s="32"/>
      <c r="H45" s="32"/>
    </row>
    <row r="46" customFormat="false" ht="36" hidden="false" customHeight="true" outlineLevel="0" collapsed="false">
      <c r="B46" s="31" t="s">
        <v>157</v>
      </c>
      <c r="C46" s="32" t="s">
        <v>158</v>
      </c>
      <c r="D46" s="32"/>
      <c r="E46" s="32"/>
      <c r="F46" s="32"/>
      <c r="G46" s="32"/>
      <c r="H46" s="32"/>
    </row>
    <row r="47" customFormat="false" ht="36" hidden="false" customHeight="true" outlineLevel="0" collapsed="false">
      <c r="B47" s="31" t="s">
        <v>159</v>
      </c>
      <c r="C47" s="32" t="s">
        <v>160</v>
      </c>
      <c r="D47" s="32"/>
      <c r="E47" s="32"/>
      <c r="F47" s="32"/>
      <c r="G47" s="32"/>
      <c r="H47" s="32"/>
    </row>
  </sheetData>
  <mergeCells count="26">
    <mergeCell ref="B2:H2"/>
    <mergeCell ref="B3:H3"/>
    <mergeCell ref="B5:H5"/>
    <mergeCell ref="C6:E6"/>
    <mergeCell ref="C7:E7"/>
    <mergeCell ref="C8:E8"/>
    <mergeCell ref="C9:E9"/>
    <mergeCell ref="C10:E10"/>
    <mergeCell ref="C11:E11"/>
    <mergeCell ref="C12:E12"/>
    <mergeCell ref="C13:E13"/>
    <mergeCell ref="C14:E14"/>
    <mergeCell ref="B16:H16"/>
    <mergeCell ref="B17:H20"/>
    <mergeCell ref="B22:H22"/>
    <mergeCell ref="B31:H31"/>
    <mergeCell ref="B33:H33"/>
    <mergeCell ref="B34:H38"/>
    <mergeCell ref="B40:H40"/>
    <mergeCell ref="C41:H41"/>
    <mergeCell ref="C42:H42"/>
    <mergeCell ref="C43:H43"/>
    <mergeCell ref="C44:H44"/>
    <mergeCell ref="C45:H45"/>
    <mergeCell ref="C46:H46"/>
    <mergeCell ref="C47:H4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H4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22"/>
    <col collapsed="false" customWidth="true" hidden="false" outlineLevel="0" max="8" min="3" style="1" width="14"/>
  </cols>
  <sheetData>
    <row r="2" customFormat="false" ht="24" hidden="false" customHeight="true" outlineLevel="0" collapsed="false">
      <c r="B2" s="21" t="s">
        <v>161</v>
      </c>
      <c r="C2" s="21"/>
      <c r="D2" s="21"/>
      <c r="E2" s="21"/>
      <c r="F2" s="21"/>
      <c r="G2" s="21"/>
      <c r="H2" s="21"/>
    </row>
    <row r="3" customFormat="false" ht="15" hidden="false" customHeight="true" outlineLevel="0" collapsed="false">
      <c r="B3" s="22" t="s">
        <v>162</v>
      </c>
      <c r="C3" s="22"/>
      <c r="D3" s="22"/>
      <c r="E3" s="22"/>
      <c r="F3" s="22"/>
      <c r="G3" s="22"/>
      <c r="H3" s="22"/>
    </row>
    <row r="5" customFormat="false" ht="21.75" hidden="false" customHeight="true" outlineLevel="0" collapsed="false">
      <c r="B5" s="23" t="s">
        <v>117</v>
      </c>
      <c r="C5" s="23"/>
      <c r="D5" s="23"/>
      <c r="E5" s="23"/>
      <c r="F5" s="23"/>
      <c r="G5" s="23"/>
      <c r="H5" s="23"/>
    </row>
    <row r="6" customFormat="false" ht="15" hidden="false" customHeight="true" outlineLevel="0" collapsed="false">
      <c r="B6" s="24" t="s">
        <v>118</v>
      </c>
      <c r="C6" s="25" t="s">
        <v>119</v>
      </c>
      <c r="D6" s="25"/>
      <c r="E6" s="25"/>
    </row>
    <row r="7" customFormat="false" ht="15" hidden="false" customHeight="true" outlineLevel="0" collapsed="false">
      <c r="B7" s="24" t="s">
        <v>120</v>
      </c>
      <c r="C7" s="25" t="s">
        <v>163</v>
      </c>
      <c r="D7" s="25"/>
      <c r="E7" s="25"/>
    </row>
    <row r="8" customFormat="false" ht="15" hidden="false" customHeight="true" outlineLevel="0" collapsed="false">
      <c r="B8" s="24" t="s">
        <v>122</v>
      </c>
      <c r="C8" s="25" t="s">
        <v>164</v>
      </c>
      <c r="D8" s="25"/>
      <c r="E8" s="25"/>
    </row>
    <row r="9" customFormat="false" ht="15" hidden="false" customHeight="true" outlineLevel="0" collapsed="false">
      <c r="B9" s="24" t="s">
        <v>124</v>
      </c>
      <c r="C9" s="25" t="s">
        <v>165</v>
      </c>
      <c r="D9" s="25"/>
      <c r="E9" s="25"/>
    </row>
    <row r="10" customFormat="false" ht="15" hidden="false" customHeight="true" outlineLevel="0" collapsed="false">
      <c r="B10" s="24" t="s">
        <v>126</v>
      </c>
      <c r="C10" s="25" t="s">
        <v>43</v>
      </c>
      <c r="D10" s="25"/>
      <c r="E10" s="25"/>
    </row>
    <row r="11" customFormat="false" ht="15" hidden="false" customHeight="true" outlineLevel="0" collapsed="false">
      <c r="B11" s="24" t="s">
        <v>127</v>
      </c>
      <c r="C11" s="25" t="s">
        <v>128</v>
      </c>
      <c r="D11" s="25"/>
      <c r="E11" s="25"/>
    </row>
    <row r="12" customFormat="false" ht="15" hidden="false" customHeight="true" outlineLevel="0" collapsed="false">
      <c r="B12" s="24" t="s">
        <v>129</v>
      </c>
      <c r="C12" s="25" t="s">
        <v>166</v>
      </c>
      <c r="D12" s="25"/>
      <c r="E12" s="25"/>
    </row>
    <row r="13" customFormat="false" ht="15" hidden="false" customHeight="true" outlineLevel="0" collapsed="false">
      <c r="B13" s="24" t="s">
        <v>131</v>
      </c>
      <c r="C13" s="25" t="s">
        <v>123</v>
      </c>
      <c r="D13" s="25"/>
      <c r="E13" s="25"/>
    </row>
    <row r="14" customFormat="false" ht="15" hidden="false" customHeight="true" outlineLevel="0" collapsed="false">
      <c r="B14" s="24" t="s">
        <v>133</v>
      </c>
      <c r="C14" s="25" t="s">
        <v>167</v>
      </c>
      <c r="D14" s="25"/>
      <c r="E14" s="25"/>
    </row>
    <row r="16" customFormat="false" ht="21.75" hidden="false" customHeight="true" outlineLevel="0" collapsed="false">
      <c r="B16" s="23" t="s">
        <v>135</v>
      </c>
      <c r="C16" s="23"/>
      <c r="D16" s="23"/>
      <c r="E16" s="23"/>
      <c r="F16" s="23"/>
      <c r="G16" s="23"/>
      <c r="H16" s="23"/>
    </row>
    <row r="17" customFormat="false" ht="18" hidden="false" customHeight="true" outlineLevel="0" collapsed="false">
      <c r="B17" s="26" t="s">
        <v>168</v>
      </c>
      <c r="C17" s="26"/>
      <c r="D17" s="26"/>
      <c r="E17" s="26"/>
      <c r="F17" s="26"/>
      <c r="G17" s="26"/>
      <c r="H17" s="26"/>
    </row>
    <row r="18" customFormat="false" ht="18" hidden="false" customHeight="true" outlineLevel="0" collapsed="false">
      <c r="B18" s="26"/>
      <c r="C18" s="26"/>
      <c r="D18" s="26"/>
      <c r="E18" s="26"/>
      <c r="F18" s="26"/>
      <c r="G18" s="26"/>
      <c r="H18" s="26"/>
    </row>
    <row r="19" customFormat="false" ht="18" hidden="false" customHeight="true" outlineLevel="0" collapsed="false">
      <c r="B19" s="26"/>
      <c r="C19" s="26"/>
      <c r="D19" s="26"/>
      <c r="E19" s="26"/>
      <c r="F19" s="26"/>
      <c r="G19" s="26"/>
      <c r="H19" s="26"/>
    </row>
    <row r="20" customFormat="false" ht="18" hidden="false" customHeight="true" outlineLevel="0" collapsed="false">
      <c r="B20" s="26"/>
      <c r="C20" s="26"/>
      <c r="D20" s="26"/>
      <c r="E20" s="26"/>
      <c r="F20" s="26"/>
      <c r="G20" s="26"/>
      <c r="H20" s="26"/>
    </row>
    <row r="22" customFormat="false" ht="21.75" hidden="false" customHeight="true" outlineLevel="0" collapsed="false">
      <c r="B22" s="23" t="s">
        <v>137</v>
      </c>
      <c r="C22" s="23"/>
      <c r="D22" s="23"/>
      <c r="E22" s="23"/>
      <c r="F22" s="23"/>
      <c r="G22" s="23"/>
      <c r="H22" s="23"/>
    </row>
    <row r="23" customFormat="false" ht="30" hidden="false" customHeight="true" outlineLevel="0" collapsed="false">
      <c r="B23" s="27" t="s">
        <v>138</v>
      </c>
      <c r="C23" s="27" t="s">
        <v>139</v>
      </c>
      <c r="D23" s="27" t="s">
        <v>140</v>
      </c>
      <c r="E23" s="27" t="s">
        <v>141</v>
      </c>
      <c r="F23" s="27" t="s">
        <v>142</v>
      </c>
    </row>
    <row r="24" customFormat="false" ht="15" hidden="false" customHeight="true" outlineLevel="0" collapsed="false">
      <c r="B24" s="28" t="n">
        <v>1</v>
      </c>
      <c r="C24" s="28" t="n">
        <v>4</v>
      </c>
      <c r="D24" s="28" t="n">
        <v>1</v>
      </c>
      <c r="E24" s="28" t="n">
        <v>1</v>
      </c>
      <c r="F24" s="28" t="n">
        <v>0</v>
      </c>
    </row>
    <row r="25" customFormat="false" ht="15" hidden="false" customHeight="true" outlineLevel="0" collapsed="false">
      <c r="B25" s="29" t="n">
        <v>2</v>
      </c>
      <c r="C25" s="29" t="n">
        <v>4</v>
      </c>
      <c r="D25" s="29" t="n">
        <v>1</v>
      </c>
      <c r="E25" s="29" t="n">
        <v>1</v>
      </c>
      <c r="F25" s="29" t="n">
        <v>1</v>
      </c>
    </row>
    <row r="26" customFormat="false" ht="15" hidden="false" customHeight="true" outlineLevel="0" collapsed="false">
      <c r="B26" s="28" t="n">
        <v>3</v>
      </c>
      <c r="C26" s="28" t="n">
        <v>4</v>
      </c>
      <c r="D26" s="28" t="n">
        <v>1</v>
      </c>
      <c r="E26" s="28" t="n">
        <v>1</v>
      </c>
      <c r="F26" s="28" t="n">
        <v>2</v>
      </c>
    </row>
    <row r="27" customFormat="false" ht="15" hidden="false" customHeight="true" outlineLevel="0" collapsed="false">
      <c r="B27" s="29" t="n">
        <v>4</v>
      </c>
      <c r="C27" s="29" t="n">
        <v>4</v>
      </c>
      <c r="D27" s="29" t="n">
        <v>1</v>
      </c>
      <c r="E27" s="29" t="n">
        <v>1</v>
      </c>
      <c r="F27" s="29" t="n">
        <v>3</v>
      </c>
    </row>
    <row r="28" customFormat="false" ht="15" hidden="false" customHeight="true" outlineLevel="0" collapsed="false">
      <c r="B28" s="28" t="n">
        <v>5</v>
      </c>
      <c r="C28" s="28" t="n">
        <v>4</v>
      </c>
      <c r="D28" s="28" t="n">
        <v>1</v>
      </c>
      <c r="E28" s="28" t="n">
        <v>1</v>
      </c>
      <c r="F28" s="28" t="n">
        <v>4</v>
      </c>
    </row>
    <row r="30" customFormat="false" ht="27.75" hidden="false" customHeight="true" outlineLevel="0" collapsed="false">
      <c r="B30" s="9" t="s">
        <v>169</v>
      </c>
      <c r="C30" s="9"/>
      <c r="D30" s="9"/>
      <c r="E30" s="9"/>
      <c r="F30" s="9"/>
      <c r="G30" s="9"/>
      <c r="H30" s="9"/>
    </row>
    <row r="32" customFormat="false" ht="21.75" hidden="false" customHeight="true" outlineLevel="0" collapsed="false">
      <c r="B32" s="23" t="s">
        <v>144</v>
      </c>
      <c r="C32" s="23"/>
      <c r="D32" s="23"/>
      <c r="E32" s="23"/>
      <c r="F32" s="23"/>
      <c r="G32" s="23"/>
      <c r="H32" s="23"/>
    </row>
    <row r="33" customFormat="false" ht="19.5" hidden="false" customHeight="true" outlineLevel="0" collapsed="false">
      <c r="B33" s="30" t="s">
        <v>170</v>
      </c>
      <c r="C33" s="30"/>
      <c r="D33" s="30"/>
      <c r="E33" s="30"/>
      <c r="F33" s="30"/>
      <c r="G33" s="30"/>
      <c r="H33" s="30"/>
    </row>
    <row r="34" customFormat="false" ht="19.5" hidden="false" customHeight="true" outlineLevel="0" collapsed="false">
      <c r="B34" s="30"/>
      <c r="C34" s="30"/>
      <c r="D34" s="30"/>
      <c r="E34" s="30"/>
      <c r="F34" s="30"/>
      <c r="G34" s="30"/>
      <c r="H34" s="30"/>
    </row>
    <row r="35" customFormat="false" ht="19.5" hidden="false" customHeight="true" outlineLevel="0" collapsed="false">
      <c r="B35" s="30"/>
      <c r="C35" s="30"/>
      <c r="D35" s="30"/>
      <c r="E35" s="30"/>
      <c r="F35" s="30"/>
      <c r="G35" s="30"/>
      <c r="H35" s="30"/>
    </row>
    <row r="36" customFormat="false" ht="19.5" hidden="false" customHeight="true" outlineLevel="0" collapsed="false">
      <c r="B36" s="30"/>
      <c r="C36" s="30"/>
      <c r="D36" s="30"/>
      <c r="E36" s="30"/>
      <c r="F36" s="30"/>
      <c r="G36" s="30"/>
      <c r="H36" s="30"/>
    </row>
    <row r="37" customFormat="false" ht="19.5" hidden="false" customHeight="true" outlineLevel="0" collapsed="false">
      <c r="B37" s="30"/>
      <c r="C37" s="30"/>
      <c r="D37" s="30"/>
      <c r="E37" s="30"/>
      <c r="F37" s="30"/>
      <c r="G37" s="30"/>
      <c r="H37" s="30"/>
    </row>
    <row r="39" customFormat="false" ht="21.75" hidden="false" customHeight="true" outlineLevel="0" collapsed="false">
      <c r="B39" s="23" t="s">
        <v>146</v>
      </c>
      <c r="C39" s="23"/>
      <c r="D39" s="23"/>
      <c r="E39" s="23"/>
      <c r="F39" s="23"/>
      <c r="G39" s="23"/>
      <c r="H39" s="23"/>
    </row>
    <row r="40" customFormat="false" ht="36" hidden="false" customHeight="true" outlineLevel="0" collapsed="false">
      <c r="B40" s="31" t="s">
        <v>147</v>
      </c>
      <c r="C40" s="32" t="s">
        <v>171</v>
      </c>
      <c r="D40" s="32"/>
      <c r="E40" s="32"/>
      <c r="F40" s="32"/>
      <c r="G40" s="32"/>
      <c r="H40" s="32"/>
    </row>
    <row r="41" customFormat="false" ht="36" hidden="false" customHeight="true" outlineLevel="0" collapsed="false">
      <c r="B41" s="31" t="s">
        <v>149</v>
      </c>
      <c r="C41" s="32" t="s">
        <v>150</v>
      </c>
      <c r="D41" s="32"/>
      <c r="E41" s="32"/>
      <c r="F41" s="32"/>
      <c r="G41" s="32"/>
      <c r="H41" s="32"/>
    </row>
    <row r="42" customFormat="false" ht="36" hidden="false" customHeight="true" outlineLevel="0" collapsed="false">
      <c r="B42" s="31" t="s">
        <v>151</v>
      </c>
      <c r="C42" s="32" t="s">
        <v>172</v>
      </c>
      <c r="D42" s="32"/>
      <c r="E42" s="32"/>
      <c r="F42" s="32"/>
      <c r="G42" s="32"/>
      <c r="H42" s="32"/>
    </row>
    <row r="43" customFormat="false" ht="36" hidden="false" customHeight="true" outlineLevel="0" collapsed="false">
      <c r="B43" s="31" t="s">
        <v>153</v>
      </c>
      <c r="C43" s="32" t="s">
        <v>173</v>
      </c>
      <c r="D43" s="32"/>
      <c r="E43" s="32"/>
      <c r="F43" s="32"/>
      <c r="G43" s="32"/>
      <c r="H43" s="32"/>
    </row>
    <row r="44" customFormat="false" ht="36" hidden="false" customHeight="true" outlineLevel="0" collapsed="false">
      <c r="B44" s="31" t="s">
        <v>155</v>
      </c>
      <c r="C44" s="32" t="s">
        <v>156</v>
      </c>
      <c r="D44" s="32"/>
      <c r="E44" s="32"/>
      <c r="F44" s="32"/>
      <c r="G44" s="32"/>
      <c r="H44" s="32"/>
    </row>
    <row r="45" customFormat="false" ht="36" hidden="false" customHeight="true" outlineLevel="0" collapsed="false">
      <c r="B45" s="31" t="s">
        <v>157</v>
      </c>
      <c r="C45" s="32" t="s">
        <v>158</v>
      </c>
      <c r="D45" s="32"/>
      <c r="E45" s="32"/>
      <c r="F45" s="32"/>
      <c r="G45" s="32"/>
      <c r="H45" s="32"/>
    </row>
    <row r="46" customFormat="false" ht="36" hidden="false" customHeight="true" outlineLevel="0" collapsed="false">
      <c r="B46" s="31" t="s">
        <v>159</v>
      </c>
      <c r="C46" s="32" t="s">
        <v>160</v>
      </c>
      <c r="D46" s="32"/>
      <c r="E46" s="32"/>
      <c r="F46" s="32"/>
      <c r="G46" s="32"/>
      <c r="H46" s="32"/>
    </row>
  </sheetData>
  <mergeCells count="26">
    <mergeCell ref="B2:H2"/>
    <mergeCell ref="B3:H3"/>
    <mergeCell ref="B5:H5"/>
    <mergeCell ref="C6:E6"/>
    <mergeCell ref="C7:E7"/>
    <mergeCell ref="C8:E8"/>
    <mergeCell ref="C9:E9"/>
    <mergeCell ref="C10:E10"/>
    <mergeCell ref="C11:E11"/>
    <mergeCell ref="C12:E12"/>
    <mergeCell ref="C13:E13"/>
    <mergeCell ref="C14:E14"/>
    <mergeCell ref="B16:H16"/>
    <mergeCell ref="B17:H20"/>
    <mergeCell ref="B22:H22"/>
    <mergeCell ref="B30:H30"/>
    <mergeCell ref="B32:H32"/>
    <mergeCell ref="B33:H37"/>
    <mergeCell ref="B39:H39"/>
    <mergeCell ref="C40:H40"/>
    <mergeCell ref="C41:H41"/>
    <mergeCell ref="C42:H42"/>
    <mergeCell ref="C43:H43"/>
    <mergeCell ref="C44:H44"/>
    <mergeCell ref="C45:H45"/>
    <mergeCell ref="C46:H4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H4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22"/>
    <col collapsed="false" customWidth="true" hidden="false" outlineLevel="0" max="8" min="3" style="1" width="14"/>
  </cols>
  <sheetData>
    <row r="2" customFormat="false" ht="24" hidden="false" customHeight="true" outlineLevel="0" collapsed="false">
      <c r="B2" s="21" t="s">
        <v>174</v>
      </c>
      <c r="C2" s="21"/>
      <c r="D2" s="21"/>
      <c r="E2" s="21"/>
      <c r="F2" s="21"/>
      <c r="G2" s="21"/>
      <c r="H2" s="21"/>
    </row>
    <row r="3" customFormat="false" ht="15" hidden="false" customHeight="true" outlineLevel="0" collapsed="false">
      <c r="B3" s="22" t="s">
        <v>175</v>
      </c>
      <c r="C3" s="22"/>
      <c r="D3" s="22"/>
      <c r="E3" s="22"/>
      <c r="F3" s="22"/>
      <c r="G3" s="22"/>
      <c r="H3" s="22"/>
    </row>
    <row r="5" customFormat="false" ht="21.75" hidden="false" customHeight="true" outlineLevel="0" collapsed="false">
      <c r="B5" s="23" t="s">
        <v>117</v>
      </c>
      <c r="C5" s="23"/>
      <c r="D5" s="23"/>
      <c r="E5" s="23"/>
      <c r="F5" s="23"/>
      <c r="G5" s="23"/>
      <c r="H5" s="23"/>
    </row>
    <row r="6" customFormat="false" ht="15" hidden="false" customHeight="true" outlineLevel="0" collapsed="false">
      <c r="B6" s="24" t="s">
        <v>118</v>
      </c>
      <c r="C6" s="25" t="s">
        <v>119</v>
      </c>
      <c r="D6" s="25"/>
      <c r="E6" s="25"/>
    </row>
    <row r="7" customFormat="false" ht="15" hidden="false" customHeight="true" outlineLevel="0" collapsed="false">
      <c r="B7" s="24" t="s">
        <v>120</v>
      </c>
      <c r="C7" s="25" t="s">
        <v>176</v>
      </c>
      <c r="D7" s="25"/>
      <c r="E7" s="25"/>
    </row>
    <row r="8" customFormat="false" ht="15" hidden="false" customHeight="true" outlineLevel="0" collapsed="false">
      <c r="B8" s="24" t="s">
        <v>122</v>
      </c>
      <c r="C8" s="25" t="s">
        <v>123</v>
      </c>
      <c r="D8" s="25"/>
      <c r="E8" s="25"/>
    </row>
    <row r="9" customFormat="false" ht="15" hidden="false" customHeight="true" outlineLevel="0" collapsed="false">
      <c r="B9" s="24" t="s">
        <v>124</v>
      </c>
      <c r="C9" s="25" t="s">
        <v>165</v>
      </c>
      <c r="D9" s="25"/>
      <c r="E9" s="25"/>
    </row>
    <row r="10" customFormat="false" ht="15" hidden="false" customHeight="true" outlineLevel="0" collapsed="false">
      <c r="B10" s="24" t="s">
        <v>126</v>
      </c>
      <c r="C10" s="25" t="s">
        <v>43</v>
      </c>
      <c r="D10" s="25"/>
      <c r="E10" s="25"/>
    </row>
    <row r="11" customFormat="false" ht="15" hidden="false" customHeight="true" outlineLevel="0" collapsed="false">
      <c r="B11" s="24" t="s">
        <v>127</v>
      </c>
      <c r="C11" s="25" t="s">
        <v>128</v>
      </c>
      <c r="D11" s="25"/>
      <c r="E11" s="25"/>
    </row>
    <row r="12" customFormat="false" ht="15" hidden="false" customHeight="true" outlineLevel="0" collapsed="false">
      <c r="B12" s="24" t="s">
        <v>129</v>
      </c>
      <c r="C12" s="25" t="s">
        <v>166</v>
      </c>
      <c r="D12" s="25"/>
      <c r="E12" s="25"/>
    </row>
    <row r="13" customFormat="false" ht="15" hidden="false" customHeight="true" outlineLevel="0" collapsed="false">
      <c r="B13" s="24" t="s">
        <v>131</v>
      </c>
      <c r="C13" s="25" t="s">
        <v>132</v>
      </c>
      <c r="D13" s="25"/>
      <c r="E13" s="25"/>
    </row>
    <row r="14" customFormat="false" ht="15" hidden="false" customHeight="true" outlineLevel="0" collapsed="false">
      <c r="B14" s="24" t="s">
        <v>133</v>
      </c>
      <c r="C14" s="25" t="s">
        <v>134</v>
      </c>
      <c r="D14" s="25"/>
      <c r="E14" s="25"/>
    </row>
    <row r="16" customFormat="false" ht="21.75" hidden="false" customHeight="true" outlineLevel="0" collapsed="false">
      <c r="B16" s="23" t="s">
        <v>135</v>
      </c>
      <c r="C16" s="23"/>
      <c r="D16" s="23"/>
      <c r="E16" s="23"/>
      <c r="F16" s="23"/>
      <c r="G16" s="23"/>
      <c r="H16" s="23"/>
    </row>
    <row r="17" customFormat="false" ht="18" hidden="false" customHeight="true" outlineLevel="0" collapsed="false">
      <c r="B17" s="26" t="s">
        <v>177</v>
      </c>
      <c r="C17" s="26"/>
      <c r="D17" s="26"/>
      <c r="E17" s="26"/>
      <c r="F17" s="26"/>
      <c r="G17" s="26"/>
      <c r="H17" s="26"/>
    </row>
    <row r="18" customFormat="false" ht="18" hidden="false" customHeight="true" outlineLevel="0" collapsed="false">
      <c r="B18" s="26"/>
      <c r="C18" s="26"/>
      <c r="D18" s="26"/>
      <c r="E18" s="26"/>
      <c r="F18" s="26"/>
      <c r="G18" s="26"/>
      <c r="H18" s="26"/>
    </row>
    <row r="19" customFormat="false" ht="18" hidden="false" customHeight="true" outlineLevel="0" collapsed="false">
      <c r="B19" s="26"/>
      <c r="C19" s="26"/>
      <c r="D19" s="26"/>
      <c r="E19" s="26"/>
      <c r="F19" s="26"/>
      <c r="G19" s="26"/>
      <c r="H19" s="26"/>
    </row>
    <row r="20" customFormat="false" ht="18" hidden="false" customHeight="true" outlineLevel="0" collapsed="false">
      <c r="B20" s="26"/>
      <c r="C20" s="26"/>
      <c r="D20" s="26"/>
      <c r="E20" s="26"/>
      <c r="F20" s="26"/>
      <c r="G20" s="26"/>
      <c r="H20" s="26"/>
    </row>
    <row r="22" customFormat="false" ht="21.75" hidden="false" customHeight="true" outlineLevel="0" collapsed="false">
      <c r="B22" s="23" t="s">
        <v>137</v>
      </c>
      <c r="C22" s="23"/>
      <c r="D22" s="23"/>
      <c r="E22" s="23"/>
      <c r="F22" s="23"/>
      <c r="G22" s="23"/>
      <c r="H22" s="23"/>
    </row>
    <row r="23" customFormat="false" ht="30" hidden="false" customHeight="true" outlineLevel="0" collapsed="false">
      <c r="B23" s="27" t="s">
        <v>138</v>
      </c>
      <c r="C23" s="27" t="s">
        <v>139</v>
      </c>
      <c r="D23" s="27" t="s">
        <v>140</v>
      </c>
      <c r="E23" s="27" t="s">
        <v>141</v>
      </c>
      <c r="F23" s="27" t="s">
        <v>142</v>
      </c>
    </row>
    <row r="24" customFormat="false" ht="15" hidden="false" customHeight="true" outlineLevel="0" collapsed="false">
      <c r="B24" s="28" t="n">
        <v>1</v>
      </c>
      <c r="C24" s="28" t="n">
        <v>4</v>
      </c>
      <c r="D24" s="28" t="n">
        <v>2</v>
      </c>
      <c r="E24" s="28" t="n">
        <v>1</v>
      </c>
      <c r="F24" s="28" t="n">
        <v>0</v>
      </c>
    </row>
    <row r="25" customFormat="false" ht="15" hidden="false" customHeight="true" outlineLevel="0" collapsed="false">
      <c r="B25" s="29" t="n">
        <v>2</v>
      </c>
      <c r="C25" s="29" t="n">
        <v>4</v>
      </c>
      <c r="D25" s="29" t="n">
        <v>2</v>
      </c>
      <c r="E25" s="29" t="n">
        <v>1</v>
      </c>
      <c r="F25" s="29" t="n">
        <v>1</v>
      </c>
    </row>
    <row r="26" customFormat="false" ht="15" hidden="false" customHeight="true" outlineLevel="0" collapsed="false">
      <c r="B26" s="28" t="n">
        <v>3</v>
      </c>
      <c r="C26" s="28" t="n">
        <v>4</v>
      </c>
      <c r="D26" s="28" t="n">
        <v>2</v>
      </c>
      <c r="E26" s="28" t="n">
        <v>1</v>
      </c>
      <c r="F26" s="28" t="n">
        <v>2</v>
      </c>
    </row>
    <row r="27" customFormat="false" ht="15" hidden="false" customHeight="true" outlineLevel="0" collapsed="false">
      <c r="B27" s="29" t="n">
        <v>4</v>
      </c>
      <c r="C27" s="29" t="n">
        <v>4</v>
      </c>
      <c r="D27" s="29" t="n">
        <v>2</v>
      </c>
      <c r="E27" s="29" t="n">
        <v>1</v>
      </c>
      <c r="F27" s="29" t="n">
        <v>2</v>
      </c>
    </row>
    <row r="28" customFormat="false" ht="15" hidden="false" customHeight="true" outlineLevel="0" collapsed="false">
      <c r="B28" s="28" t="n">
        <v>5</v>
      </c>
      <c r="C28" s="28" t="n">
        <v>4</v>
      </c>
      <c r="D28" s="28" t="n">
        <v>2</v>
      </c>
      <c r="E28" s="28" t="n">
        <v>1</v>
      </c>
      <c r="F28" s="28" t="n">
        <v>3</v>
      </c>
    </row>
    <row r="29" customFormat="false" ht="15" hidden="false" customHeight="true" outlineLevel="0" collapsed="false">
      <c r="B29" s="29" t="n">
        <v>6</v>
      </c>
      <c r="C29" s="29" t="n">
        <v>4</v>
      </c>
      <c r="D29" s="29" t="n">
        <v>2</v>
      </c>
      <c r="E29" s="29" t="n">
        <v>1</v>
      </c>
      <c r="F29" s="29" t="n">
        <v>4</v>
      </c>
    </row>
    <row r="31" customFormat="false" ht="27.75" hidden="false" customHeight="true" outlineLevel="0" collapsed="false">
      <c r="B31" s="9" t="s">
        <v>178</v>
      </c>
      <c r="C31" s="9"/>
      <c r="D31" s="9"/>
      <c r="E31" s="9"/>
      <c r="F31" s="9"/>
      <c r="G31" s="9"/>
      <c r="H31" s="9"/>
    </row>
    <row r="33" customFormat="false" ht="21.75" hidden="false" customHeight="true" outlineLevel="0" collapsed="false">
      <c r="B33" s="23" t="s">
        <v>144</v>
      </c>
      <c r="C33" s="23"/>
      <c r="D33" s="23"/>
      <c r="E33" s="23"/>
      <c r="F33" s="23"/>
      <c r="G33" s="23"/>
      <c r="H33" s="23"/>
    </row>
    <row r="34" customFormat="false" ht="19.5" hidden="false" customHeight="true" outlineLevel="0" collapsed="false">
      <c r="B34" s="30" t="s">
        <v>170</v>
      </c>
      <c r="C34" s="30"/>
      <c r="D34" s="30"/>
      <c r="E34" s="30"/>
      <c r="F34" s="30"/>
      <c r="G34" s="30"/>
      <c r="H34" s="30"/>
    </row>
    <row r="35" customFormat="false" ht="19.5" hidden="false" customHeight="true" outlineLevel="0" collapsed="false">
      <c r="B35" s="30"/>
      <c r="C35" s="30"/>
      <c r="D35" s="30"/>
      <c r="E35" s="30"/>
      <c r="F35" s="30"/>
      <c r="G35" s="30"/>
      <c r="H35" s="30"/>
    </row>
    <row r="36" customFormat="false" ht="19.5" hidden="false" customHeight="true" outlineLevel="0" collapsed="false">
      <c r="B36" s="30"/>
      <c r="C36" s="30"/>
      <c r="D36" s="30"/>
      <c r="E36" s="30"/>
      <c r="F36" s="30"/>
      <c r="G36" s="30"/>
      <c r="H36" s="30"/>
    </row>
    <row r="37" customFormat="false" ht="19.5" hidden="false" customHeight="true" outlineLevel="0" collapsed="false">
      <c r="B37" s="30"/>
      <c r="C37" s="30"/>
      <c r="D37" s="30"/>
      <c r="E37" s="30"/>
      <c r="F37" s="30"/>
      <c r="G37" s="30"/>
      <c r="H37" s="30"/>
    </row>
    <row r="38" customFormat="false" ht="19.5" hidden="false" customHeight="true" outlineLevel="0" collapsed="false">
      <c r="B38" s="30"/>
      <c r="C38" s="30"/>
      <c r="D38" s="30"/>
      <c r="E38" s="30"/>
      <c r="F38" s="30"/>
      <c r="G38" s="30"/>
      <c r="H38" s="30"/>
    </row>
    <row r="40" customFormat="false" ht="21.75" hidden="false" customHeight="true" outlineLevel="0" collapsed="false">
      <c r="B40" s="23" t="s">
        <v>146</v>
      </c>
      <c r="C40" s="23"/>
      <c r="D40" s="23"/>
      <c r="E40" s="23"/>
      <c r="F40" s="23"/>
      <c r="G40" s="23"/>
      <c r="H40" s="23"/>
    </row>
    <row r="41" customFormat="false" ht="36" hidden="false" customHeight="true" outlineLevel="0" collapsed="false">
      <c r="B41" s="31" t="s">
        <v>147</v>
      </c>
      <c r="C41" s="32" t="s">
        <v>179</v>
      </c>
      <c r="D41" s="32"/>
      <c r="E41" s="32"/>
      <c r="F41" s="32"/>
      <c r="G41" s="32"/>
      <c r="H41" s="32"/>
    </row>
    <row r="42" customFormat="false" ht="36" hidden="false" customHeight="true" outlineLevel="0" collapsed="false">
      <c r="B42" s="31" t="s">
        <v>149</v>
      </c>
      <c r="C42" s="32" t="s">
        <v>150</v>
      </c>
      <c r="D42" s="32"/>
      <c r="E42" s="32"/>
      <c r="F42" s="32"/>
      <c r="G42" s="32"/>
      <c r="H42" s="32"/>
    </row>
    <row r="43" customFormat="false" ht="36" hidden="false" customHeight="true" outlineLevel="0" collapsed="false">
      <c r="B43" s="31" t="s">
        <v>151</v>
      </c>
      <c r="C43" s="32" t="s">
        <v>180</v>
      </c>
      <c r="D43" s="32"/>
      <c r="E43" s="32"/>
      <c r="F43" s="32"/>
      <c r="G43" s="32"/>
      <c r="H43" s="32"/>
    </row>
    <row r="44" customFormat="false" ht="36" hidden="false" customHeight="true" outlineLevel="0" collapsed="false">
      <c r="B44" s="31" t="s">
        <v>153</v>
      </c>
      <c r="C44" s="32" t="s">
        <v>154</v>
      </c>
      <c r="D44" s="32"/>
      <c r="E44" s="32"/>
      <c r="F44" s="32"/>
      <c r="G44" s="32"/>
      <c r="H44" s="32"/>
    </row>
    <row r="45" customFormat="false" ht="36" hidden="false" customHeight="true" outlineLevel="0" collapsed="false">
      <c r="B45" s="31" t="s">
        <v>155</v>
      </c>
      <c r="C45" s="32" t="s">
        <v>156</v>
      </c>
      <c r="D45" s="32"/>
      <c r="E45" s="32"/>
      <c r="F45" s="32"/>
      <c r="G45" s="32"/>
      <c r="H45" s="32"/>
    </row>
    <row r="46" customFormat="false" ht="36" hidden="false" customHeight="true" outlineLevel="0" collapsed="false">
      <c r="B46" s="31" t="s">
        <v>157</v>
      </c>
      <c r="C46" s="32" t="s">
        <v>158</v>
      </c>
      <c r="D46" s="32"/>
      <c r="E46" s="32"/>
      <c r="F46" s="32"/>
      <c r="G46" s="32"/>
      <c r="H46" s="32"/>
    </row>
    <row r="47" customFormat="false" ht="36" hidden="false" customHeight="true" outlineLevel="0" collapsed="false">
      <c r="B47" s="31" t="s">
        <v>159</v>
      </c>
      <c r="C47" s="32" t="s">
        <v>160</v>
      </c>
      <c r="D47" s="32"/>
      <c r="E47" s="32"/>
      <c r="F47" s="32"/>
      <c r="G47" s="32"/>
      <c r="H47" s="32"/>
    </row>
  </sheetData>
  <mergeCells count="26">
    <mergeCell ref="B2:H2"/>
    <mergeCell ref="B3:H3"/>
    <mergeCell ref="B5:H5"/>
    <mergeCell ref="C6:E6"/>
    <mergeCell ref="C7:E7"/>
    <mergeCell ref="C8:E8"/>
    <mergeCell ref="C9:E9"/>
    <mergeCell ref="C10:E10"/>
    <mergeCell ref="C11:E11"/>
    <mergeCell ref="C12:E12"/>
    <mergeCell ref="C13:E13"/>
    <mergeCell ref="C14:E14"/>
    <mergeCell ref="B16:H16"/>
    <mergeCell ref="B17:H20"/>
    <mergeCell ref="B22:H22"/>
    <mergeCell ref="B31:H31"/>
    <mergeCell ref="B33:H33"/>
    <mergeCell ref="B34:H38"/>
    <mergeCell ref="B40:H40"/>
    <mergeCell ref="C41:H41"/>
    <mergeCell ref="C42:H42"/>
    <mergeCell ref="C43:H43"/>
    <mergeCell ref="C44:H44"/>
    <mergeCell ref="C45:H45"/>
    <mergeCell ref="C46:H46"/>
    <mergeCell ref="C47:H4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H4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22"/>
    <col collapsed="false" customWidth="true" hidden="false" outlineLevel="0" max="8" min="3" style="1" width="14"/>
  </cols>
  <sheetData>
    <row r="2" customFormat="false" ht="24" hidden="false" customHeight="true" outlineLevel="0" collapsed="false">
      <c r="B2" s="21" t="s">
        <v>181</v>
      </c>
      <c r="C2" s="21"/>
      <c r="D2" s="21"/>
      <c r="E2" s="21"/>
      <c r="F2" s="21"/>
      <c r="G2" s="21"/>
      <c r="H2" s="21"/>
    </row>
    <row r="3" customFormat="false" ht="15" hidden="false" customHeight="true" outlineLevel="0" collapsed="false">
      <c r="B3" s="22" t="s">
        <v>182</v>
      </c>
      <c r="C3" s="22"/>
      <c r="D3" s="22"/>
      <c r="E3" s="22"/>
      <c r="F3" s="22"/>
      <c r="G3" s="22"/>
      <c r="H3" s="22"/>
    </row>
    <row r="5" customFormat="false" ht="21.75" hidden="false" customHeight="true" outlineLevel="0" collapsed="false">
      <c r="B5" s="23" t="s">
        <v>117</v>
      </c>
      <c r="C5" s="23"/>
      <c r="D5" s="23"/>
      <c r="E5" s="23"/>
      <c r="F5" s="23"/>
      <c r="G5" s="23"/>
      <c r="H5" s="23"/>
    </row>
    <row r="6" customFormat="false" ht="15" hidden="false" customHeight="true" outlineLevel="0" collapsed="false">
      <c r="B6" s="24" t="s">
        <v>118</v>
      </c>
      <c r="C6" s="25" t="s">
        <v>119</v>
      </c>
      <c r="D6" s="25"/>
      <c r="E6" s="25"/>
    </row>
    <row r="7" customFormat="false" ht="15" hidden="false" customHeight="true" outlineLevel="0" collapsed="false">
      <c r="B7" s="24" t="s">
        <v>120</v>
      </c>
      <c r="C7" s="25" t="s">
        <v>183</v>
      </c>
      <c r="D7" s="25"/>
      <c r="E7" s="25"/>
    </row>
    <row r="8" customFormat="false" ht="15" hidden="false" customHeight="true" outlineLevel="0" collapsed="false">
      <c r="B8" s="24" t="s">
        <v>122</v>
      </c>
      <c r="C8" s="25" t="s">
        <v>132</v>
      </c>
      <c r="D8" s="25"/>
      <c r="E8" s="25"/>
    </row>
    <row r="9" customFormat="false" ht="15" hidden="false" customHeight="true" outlineLevel="0" collapsed="false">
      <c r="B9" s="24" t="s">
        <v>124</v>
      </c>
      <c r="C9" s="25" t="s">
        <v>165</v>
      </c>
      <c r="D9" s="25"/>
      <c r="E9" s="25"/>
    </row>
    <row r="10" customFormat="false" ht="15" hidden="false" customHeight="true" outlineLevel="0" collapsed="false">
      <c r="B10" s="24" t="s">
        <v>126</v>
      </c>
      <c r="C10" s="25" t="s">
        <v>43</v>
      </c>
      <c r="D10" s="25"/>
      <c r="E10" s="25"/>
    </row>
    <row r="11" customFormat="false" ht="15" hidden="false" customHeight="true" outlineLevel="0" collapsed="false">
      <c r="B11" s="24" t="s">
        <v>127</v>
      </c>
      <c r="C11" s="25" t="s">
        <v>128</v>
      </c>
      <c r="D11" s="25"/>
      <c r="E11" s="25"/>
    </row>
    <row r="12" customFormat="false" ht="15" hidden="false" customHeight="true" outlineLevel="0" collapsed="false">
      <c r="B12" s="24" t="s">
        <v>129</v>
      </c>
      <c r="C12" s="25" t="s">
        <v>166</v>
      </c>
      <c r="D12" s="25"/>
      <c r="E12" s="25"/>
    </row>
    <row r="13" customFormat="false" ht="15" hidden="false" customHeight="true" outlineLevel="0" collapsed="false">
      <c r="B13" s="24" t="s">
        <v>131</v>
      </c>
      <c r="C13" s="25" t="s">
        <v>184</v>
      </c>
      <c r="D13" s="25"/>
      <c r="E13" s="25"/>
    </row>
    <row r="14" customFormat="false" ht="15" hidden="false" customHeight="true" outlineLevel="0" collapsed="false">
      <c r="B14" s="24" t="s">
        <v>133</v>
      </c>
      <c r="C14" s="25" t="s">
        <v>185</v>
      </c>
      <c r="D14" s="25"/>
      <c r="E14" s="25"/>
    </row>
    <row r="16" customFormat="false" ht="21.75" hidden="false" customHeight="true" outlineLevel="0" collapsed="false">
      <c r="B16" s="23" t="s">
        <v>135</v>
      </c>
      <c r="C16" s="23"/>
      <c r="D16" s="23"/>
      <c r="E16" s="23"/>
      <c r="F16" s="23"/>
      <c r="G16" s="23"/>
      <c r="H16" s="23"/>
    </row>
    <row r="17" customFormat="false" ht="18" hidden="false" customHeight="true" outlineLevel="0" collapsed="false">
      <c r="B17" s="26" t="s">
        <v>186</v>
      </c>
      <c r="C17" s="26"/>
      <c r="D17" s="26"/>
      <c r="E17" s="26"/>
      <c r="F17" s="26"/>
      <c r="G17" s="26"/>
      <c r="H17" s="26"/>
    </row>
    <row r="18" customFormat="false" ht="18" hidden="false" customHeight="true" outlineLevel="0" collapsed="false">
      <c r="B18" s="26"/>
      <c r="C18" s="26"/>
      <c r="D18" s="26"/>
      <c r="E18" s="26"/>
      <c r="F18" s="26"/>
      <c r="G18" s="26"/>
      <c r="H18" s="26"/>
    </row>
    <row r="19" customFormat="false" ht="18" hidden="false" customHeight="true" outlineLevel="0" collapsed="false">
      <c r="B19" s="26"/>
      <c r="C19" s="26"/>
      <c r="D19" s="26"/>
      <c r="E19" s="26"/>
      <c r="F19" s="26"/>
      <c r="G19" s="26"/>
      <c r="H19" s="26"/>
    </row>
    <row r="20" customFormat="false" ht="18" hidden="false" customHeight="true" outlineLevel="0" collapsed="false">
      <c r="B20" s="26"/>
      <c r="C20" s="26"/>
      <c r="D20" s="26"/>
      <c r="E20" s="26"/>
      <c r="F20" s="26"/>
      <c r="G20" s="26"/>
      <c r="H20" s="26"/>
    </row>
    <row r="22" customFormat="false" ht="21.75" hidden="false" customHeight="true" outlineLevel="0" collapsed="false">
      <c r="B22" s="23" t="s">
        <v>137</v>
      </c>
      <c r="C22" s="23"/>
      <c r="D22" s="23"/>
      <c r="E22" s="23"/>
      <c r="F22" s="23"/>
      <c r="G22" s="23"/>
      <c r="H22" s="23"/>
    </row>
    <row r="23" customFormat="false" ht="30" hidden="false" customHeight="true" outlineLevel="0" collapsed="false">
      <c r="B23" s="27" t="s">
        <v>138</v>
      </c>
      <c r="C23" s="27" t="s">
        <v>139</v>
      </c>
      <c r="D23" s="27" t="s">
        <v>140</v>
      </c>
      <c r="E23" s="27" t="s">
        <v>141</v>
      </c>
      <c r="F23" s="27" t="s">
        <v>142</v>
      </c>
    </row>
    <row r="24" customFormat="false" ht="15" hidden="false" customHeight="true" outlineLevel="0" collapsed="false">
      <c r="B24" s="28" t="n">
        <v>1</v>
      </c>
      <c r="C24" s="28" t="n">
        <v>4</v>
      </c>
      <c r="D24" s="28" t="n">
        <v>3</v>
      </c>
      <c r="E24" s="28" t="n">
        <v>1</v>
      </c>
      <c r="F24" s="28" t="n">
        <v>0</v>
      </c>
    </row>
    <row r="25" customFormat="false" ht="15" hidden="false" customHeight="true" outlineLevel="0" collapsed="false">
      <c r="B25" s="29" t="n">
        <v>2</v>
      </c>
      <c r="C25" s="29" t="n">
        <v>4</v>
      </c>
      <c r="D25" s="29" t="n">
        <v>3</v>
      </c>
      <c r="E25" s="29" t="n">
        <v>1</v>
      </c>
      <c r="F25" s="29" t="n">
        <v>1</v>
      </c>
    </row>
    <row r="26" customFormat="false" ht="15" hidden="false" customHeight="true" outlineLevel="0" collapsed="false">
      <c r="B26" s="28" t="n">
        <v>3</v>
      </c>
      <c r="C26" s="28" t="n">
        <v>4</v>
      </c>
      <c r="D26" s="28" t="n">
        <v>3</v>
      </c>
      <c r="E26" s="28" t="n">
        <v>1</v>
      </c>
      <c r="F26" s="28" t="n">
        <v>1</v>
      </c>
    </row>
    <row r="27" customFormat="false" ht="15" hidden="false" customHeight="true" outlineLevel="0" collapsed="false">
      <c r="B27" s="29" t="n">
        <v>4</v>
      </c>
      <c r="C27" s="29" t="n">
        <v>4</v>
      </c>
      <c r="D27" s="29" t="n">
        <v>3</v>
      </c>
      <c r="E27" s="29" t="n">
        <v>1</v>
      </c>
      <c r="F27" s="29" t="n">
        <v>2</v>
      </c>
    </row>
    <row r="28" customFormat="false" ht="15" hidden="false" customHeight="true" outlineLevel="0" collapsed="false">
      <c r="B28" s="28" t="n">
        <v>5</v>
      </c>
      <c r="C28" s="28" t="n">
        <v>4</v>
      </c>
      <c r="D28" s="28" t="n">
        <v>3</v>
      </c>
      <c r="E28" s="28" t="n">
        <v>1</v>
      </c>
      <c r="F28" s="28" t="n">
        <v>2</v>
      </c>
    </row>
    <row r="29" customFormat="false" ht="15" hidden="false" customHeight="true" outlineLevel="0" collapsed="false">
      <c r="B29" s="29" t="n">
        <v>6</v>
      </c>
      <c r="C29" s="29" t="n">
        <v>4</v>
      </c>
      <c r="D29" s="29" t="n">
        <v>3</v>
      </c>
      <c r="E29" s="29" t="n">
        <v>1</v>
      </c>
      <c r="F29" s="29" t="n">
        <v>3</v>
      </c>
    </row>
    <row r="30" customFormat="false" ht="15" hidden="false" customHeight="true" outlineLevel="0" collapsed="false">
      <c r="B30" s="28" t="n">
        <v>7</v>
      </c>
      <c r="C30" s="28" t="n">
        <v>4</v>
      </c>
      <c r="D30" s="28" t="n">
        <v>3</v>
      </c>
      <c r="E30" s="28" t="n">
        <v>1</v>
      </c>
      <c r="F30" s="28" t="n">
        <v>4</v>
      </c>
    </row>
    <row r="32" customFormat="false" ht="27.75" hidden="false" customHeight="true" outlineLevel="0" collapsed="false">
      <c r="B32" s="9" t="s">
        <v>187</v>
      </c>
      <c r="C32" s="9"/>
      <c r="D32" s="9"/>
      <c r="E32" s="9"/>
      <c r="F32" s="9"/>
      <c r="G32" s="9"/>
      <c r="H32" s="9"/>
    </row>
    <row r="34" customFormat="false" ht="21.75" hidden="false" customHeight="true" outlineLevel="0" collapsed="false">
      <c r="B34" s="23" t="s">
        <v>144</v>
      </c>
      <c r="C34" s="23"/>
      <c r="D34" s="23"/>
      <c r="E34" s="23"/>
      <c r="F34" s="23"/>
      <c r="G34" s="23"/>
      <c r="H34" s="23"/>
    </row>
    <row r="35" customFormat="false" ht="19.5" hidden="false" customHeight="true" outlineLevel="0" collapsed="false">
      <c r="B35" s="30" t="s">
        <v>170</v>
      </c>
      <c r="C35" s="30"/>
      <c r="D35" s="30"/>
      <c r="E35" s="30"/>
      <c r="F35" s="30"/>
      <c r="G35" s="30"/>
      <c r="H35" s="30"/>
    </row>
    <row r="36" customFormat="false" ht="19.5" hidden="false" customHeight="true" outlineLevel="0" collapsed="false">
      <c r="B36" s="30"/>
      <c r="C36" s="30"/>
      <c r="D36" s="30"/>
      <c r="E36" s="30"/>
      <c r="F36" s="30"/>
      <c r="G36" s="30"/>
      <c r="H36" s="30"/>
    </row>
    <row r="37" customFormat="false" ht="19.5" hidden="false" customHeight="true" outlineLevel="0" collapsed="false">
      <c r="B37" s="30"/>
      <c r="C37" s="30"/>
      <c r="D37" s="30"/>
      <c r="E37" s="30"/>
      <c r="F37" s="30"/>
      <c r="G37" s="30"/>
      <c r="H37" s="30"/>
    </row>
    <row r="38" customFormat="false" ht="19.5" hidden="false" customHeight="true" outlineLevel="0" collapsed="false">
      <c r="B38" s="30"/>
      <c r="C38" s="30"/>
      <c r="D38" s="30"/>
      <c r="E38" s="30"/>
      <c r="F38" s="30"/>
      <c r="G38" s="30"/>
      <c r="H38" s="30"/>
    </row>
    <row r="39" customFormat="false" ht="19.5" hidden="false" customHeight="true" outlineLevel="0" collapsed="false">
      <c r="B39" s="30"/>
      <c r="C39" s="30"/>
      <c r="D39" s="30"/>
      <c r="E39" s="30"/>
      <c r="F39" s="30"/>
      <c r="G39" s="30"/>
      <c r="H39" s="30"/>
    </row>
    <row r="41" customFormat="false" ht="21.75" hidden="false" customHeight="true" outlineLevel="0" collapsed="false">
      <c r="B41" s="23" t="s">
        <v>146</v>
      </c>
      <c r="C41" s="23"/>
      <c r="D41" s="23"/>
      <c r="E41" s="23"/>
      <c r="F41" s="23"/>
      <c r="G41" s="23"/>
      <c r="H41" s="23"/>
    </row>
    <row r="42" customFormat="false" ht="36" hidden="false" customHeight="true" outlineLevel="0" collapsed="false">
      <c r="B42" s="31" t="s">
        <v>147</v>
      </c>
      <c r="C42" s="32" t="s">
        <v>188</v>
      </c>
      <c r="D42" s="32"/>
      <c r="E42" s="32"/>
      <c r="F42" s="32"/>
      <c r="G42" s="32"/>
      <c r="H42" s="32"/>
    </row>
    <row r="43" customFormat="false" ht="36" hidden="false" customHeight="true" outlineLevel="0" collapsed="false">
      <c r="B43" s="31" t="s">
        <v>149</v>
      </c>
      <c r="C43" s="32" t="s">
        <v>150</v>
      </c>
      <c r="D43" s="32"/>
      <c r="E43" s="32"/>
      <c r="F43" s="32"/>
      <c r="G43" s="32"/>
      <c r="H43" s="32"/>
    </row>
    <row r="44" customFormat="false" ht="36" hidden="false" customHeight="true" outlineLevel="0" collapsed="false">
      <c r="B44" s="31" t="s">
        <v>151</v>
      </c>
      <c r="C44" s="32" t="s">
        <v>189</v>
      </c>
      <c r="D44" s="32"/>
      <c r="E44" s="32"/>
      <c r="F44" s="32"/>
      <c r="G44" s="32"/>
      <c r="H44" s="32"/>
    </row>
    <row r="45" customFormat="false" ht="36" hidden="false" customHeight="true" outlineLevel="0" collapsed="false">
      <c r="B45" s="31" t="s">
        <v>153</v>
      </c>
      <c r="C45" s="32" t="s">
        <v>190</v>
      </c>
      <c r="D45" s="32"/>
      <c r="E45" s="32"/>
      <c r="F45" s="32"/>
      <c r="G45" s="32"/>
      <c r="H45" s="32"/>
    </row>
    <row r="46" customFormat="false" ht="36" hidden="false" customHeight="true" outlineLevel="0" collapsed="false">
      <c r="B46" s="31" t="s">
        <v>155</v>
      </c>
      <c r="C46" s="32" t="s">
        <v>156</v>
      </c>
      <c r="D46" s="32"/>
      <c r="E46" s="32"/>
      <c r="F46" s="32"/>
      <c r="G46" s="32"/>
      <c r="H46" s="32"/>
    </row>
    <row r="47" customFormat="false" ht="36" hidden="false" customHeight="true" outlineLevel="0" collapsed="false">
      <c r="B47" s="31" t="s">
        <v>157</v>
      </c>
      <c r="C47" s="32" t="s">
        <v>158</v>
      </c>
      <c r="D47" s="32"/>
      <c r="E47" s="32"/>
      <c r="F47" s="32"/>
      <c r="G47" s="32"/>
      <c r="H47" s="32"/>
    </row>
    <row r="48" customFormat="false" ht="36" hidden="false" customHeight="true" outlineLevel="0" collapsed="false">
      <c r="B48" s="31" t="s">
        <v>159</v>
      </c>
      <c r="C48" s="32" t="s">
        <v>160</v>
      </c>
      <c r="D48" s="32"/>
      <c r="E48" s="32"/>
      <c r="F48" s="32"/>
      <c r="G48" s="32"/>
      <c r="H48" s="32"/>
    </row>
  </sheetData>
  <mergeCells count="26">
    <mergeCell ref="B2:H2"/>
    <mergeCell ref="B3:H3"/>
    <mergeCell ref="B5:H5"/>
    <mergeCell ref="C6:E6"/>
    <mergeCell ref="C7:E7"/>
    <mergeCell ref="C8:E8"/>
    <mergeCell ref="C9:E9"/>
    <mergeCell ref="C10:E10"/>
    <mergeCell ref="C11:E11"/>
    <mergeCell ref="C12:E12"/>
    <mergeCell ref="C13:E13"/>
    <mergeCell ref="C14:E14"/>
    <mergeCell ref="B16:H16"/>
    <mergeCell ref="B17:H20"/>
    <mergeCell ref="B22:H22"/>
    <mergeCell ref="B32:H32"/>
    <mergeCell ref="B34:H34"/>
    <mergeCell ref="B35:H39"/>
    <mergeCell ref="B41:H41"/>
    <mergeCell ref="C42:H42"/>
    <mergeCell ref="C43:H43"/>
    <mergeCell ref="C44:H44"/>
    <mergeCell ref="C45:H45"/>
    <mergeCell ref="C46:H46"/>
    <mergeCell ref="C47:H47"/>
    <mergeCell ref="C48:H4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H4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22"/>
    <col collapsed="false" customWidth="true" hidden="false" outlineLevel="0" max="8" min="3" style="1" width="14"/>
  </cols>
  <sheetData>
    <row r="2" customFormat="false" ht="24" hidden="false" customHeight="true" outlineLevel="0" collapsed="false">
      <c r="B2" s="21" t="s">
        <v>191</v>
      </c>
      <c r="C2" s="21"/>
      <c r="D2" s="21"/>
      <c r="E2" s="21"/>
      <c r="F2" s="21"/>
      <c r="G2" s="21"/>
      <c r="H2" s="21"/>
    </row>
    <row r="3" customFormat="false" ht="15" hidden="false" customHeight="true" outlineLevel="0" collapsed="false">
      <c r="B3" s="22" t="s">
        <v>192</v>
      </c>
      <c r="C3" s="22"/>
      <c r="D3" s="22"/>
      <c r="E3" s="22"/>
      <c r="F3" s="22"/>
      <c r="G3" s="22"/>
      <c r="H3" s="22"/>
    </row>
    <row r="5" customFormat="false" ht="21.75" hidden="false" customHeight="true" outlineLevel="0" collapsed="false">
      <c r="B5" s="23" t="s">
        <v>117</v>
      </c>
      <c r="C5" s="23"/>
      <c r="D5" s="23"/>
      <c r="E5" s="23"/>
      <c r="F5" s="23"/>
      <c r="G5" s="23"/>
      <c r="H5" s="23"/>
    </row>
    <row r="6" customFormat="false" ht="15" hidden="false" customHeight="true" outlineLevel="0" collapsed="false">
      <c r="B6" s="24" t="s">
        <v>118</v>
      </c>
      <c r="C6" s="25" t="s">
        <v>193</v>
      </c>
      <c r="D6" s="25"/>
      <c r="E6" s="25"/>
    </row>
    <row r="7" customFormat="false" ht="15" hidden="false" customHeight="true" outlineLevel="0" collapsed="false">
      <c r="B7" s="24" t="s">
        <v>120</v>
      </c>
      <c r="C7" s="25" t="s">
        <v>121</v>
      </c>
      <c r="D7" s="25"/>
      <c r="E7" s="25"/>
    </row>
    <row r="8" customFormat="false" ht="15" hidden="false" customHeight="true" outlineLevel="0" collapsed="false">
      <c r="B8" s="24" t="s">
        <v>122</v>
      </c>
      <c r="C8" s="25" t="s">
        <v>123</v>
      </c>
      <c r="D8" s="25"/>
      <c r="E8" s="25"/>
    </row>
    <row r="9" customFormat="false" ht="15" hidden="false" customHeight="true" outlineLevel="0" collapsed="false">
      <c r="B9" s="24" t="s">
        <v>124</v>
      </c>
      <c r="C9" s="25" t="s">
        <v>125</v>
      </c>
      <c r="D9" s="25"/>
      <c r="E9" s="25"/>
    </row>
    <row r="10" customFormat="false" ht="15" hidden="false" customHeight="true" outlineLevel="0" collapsed="false">
      <c r="B10" s="24" t="s">
        <v>126</v>
      </c>
      <c r="C10" s="25" t="s">
        <v>48</v>
      </c>
      <c r="D10" s="25"/>
      <c r="E10" s="25"/>
    </row>
    <row r="11" customFormat="false" ht="15" hidden="false" customHeight="true" outlineLevel="0" collapsed="false">
      <c r="B11" s="24" t="s">
        <v>127</v>
      </c>
      <c r="C11" s="25" t="s">
        <v>194</v>
      </c>
      <c r="D11" s="25"/>
      <c r="E11" s="25"/>
    </row>
    <row r="12" customFormat="false" ht="15" hidden="false" customHeight="true" outlineLevel="0" collapsed="false">
      <c r="B12" s="24" t="s">
        <v>129</v>
      </c>
      <c r="C12" s="25" t="s">
        <v>130</v>
      </c>
      <c r="D12" s="25"/>
      <c r="E12" s="25"/>
    </row>
    <row r="13" customFormat="false" ht="15" hidden="false" customHeight="true" outlineLevel="0" collapsed="false">
      <c r="B13" s="24" t="s">
        <v>131</v>
      </c>
      <c r="C13" s="25" t="s">
        <v>184</v>
      </c>
      <c r="D13" s="25"/>
      <c r="E13" s="25"/>
    </row>
    <row r="14" customFormat="false" ht="15" hidden="false" customHeight="true" outlineLevel="0" collapsed="false">
      <c r="B14" s="24" t="s">
        <v>133</v>
      </c>
      <c r="C14" s="25" t="s">
        <v>185</v>
      </c>
      <c r="D14" s="25"/>
      <c r="E14" s="25"/>
    </row>
    <row r="16" customFormat="false" ht="21.75" hidden="false" customHeight="true" outlineLevel="0" collapsed="false">
      <c r="B16" s="23" t="s">
        <v>135</v>
      </c>
      <c r="C16" s="23"/>
      <c r="D16" s="23"/>
      <c r="E16" s="23"/>
      <c r="F16" s="23"/>
      <c r="G16" s="23"/>
      <c r="H16" s="23"/>
    </row>
    <row r="17" customFormat="false" ht="18" hidden="false" customHeight="true" outlineLevel="0" collapsed="false">
      <c r="B17" s="26" t="s">
        <v>195</v>
      </c>
      <c r="C17" s="26"/>
      <c r="D17" s="26"/>
      <c r="E17" s="26"/>
      <c r="F17" s="26"/>
      <c r="G17" s="26"/>
      <c r="H17" s="26"/>
    </row>
    <row r="18" customFormat="false" ht="18" hidden="false" customHeight="true" outlineLevel="0" collapsed="false">
      <c r="B18" s="26"/>
      <c r="C18" s="26"/>
      <c r="D18" s="26"/>
      <c r="E18" s="26"/>
      <c r="F18" s="26"/>
      <c r="G18" s="26"/>
      <c r="H18" s="26"/>
    </row>
    <row r="19" customFormat="false" ht="18" hidden="false" customHeight="true" outlineLevel="0" collapsed="false">
      <c r="B19" s="26"/>
      <c r="C19" s="26"/>
      <c r="D19" s="26"/>
      <c r="E19" s="26"/>
      <c r="F19" s="26"/>
      <c r="G19" s="26"/>
      <c r="H19" s="26"/>
    </row>
    <row r="20" customFormat="false" ht="18" hidden="false" customHeight="true" outlineLevel="0" collapsed="false">
      <c r="B20" s="26"/>
      <c r="C20" s="26"/>
      <c r="D20" s="26"/>
      <c r="E20" s="26"/>
      <c r="F20" s="26"/>
      <c r="G20" s="26"/>
      <c r="H20" s="26"/>
    </row>
    <row r="22" customFormat="false" ht="21.75" hidden="false" customHeight="true" outlineLevel="0" collapsed="false">
      <c r="B22" s="23" t="s">
        <v>137</v>
      </c>
      <c r="C22" s="23"/>
      <c r="D22" s="23"/>
      <c r="E22" s="23"/>
      <c r="F22" s="23"/>
      <c r="G22" s="23"/>
      <c r="H22" s="23"/>
    </row>
    <row r="23" customFormat="false" ht="30" hidden="false" customHeight="true" outlineLevel="0" collapsed="false">
      <c r="B23" s="27" t="s">
        <v>138</v>
      </c>
      <c r="C23" s="27" t="s">
        <v>139</v>
      </c>
      <c r="D23" s="27" t="s">
        <v>140</v>
      </c>
      <c r="E23" s="27" t="s">
        <v>141</v>
      </c>
      <c r="F23" s="27" t="s">
        <v>142</v>
      </c>
    </row>
    <row r="24" customFormat="false" ht="15" hidden="false" customHeight="true" outlineLevel="0" collapsed="false">
      <c r="B24" s="28" t="n">
        <v>1</v>
      </c>
      <c r="C24" s="28" t="n">
        <v>8</v>
      </c>
      <c r="D24" s="28" t="n">
        <v>0</v>
      </c>
      <c r="E24" s="28" t="n">
        <v>2</v>
      </c>
      <c r="F24" s="28" t="n">
        <v>1</v>
      </c>
    </row>
    <row r="25" customFormat="false" ht="15" hidden="false" customHeight="true" outlineLevel="0" collapsed="false">
      <c r="B25" s="29" t="n">
        <v>2</v>
      </c>
      <c r="C25" s="29" t="n">
        <v>8</v>
      </c>
      <c r="D25" s="29" t="n">
        <v>0</v>
      </c>
      <c r="E25" s="29" t="n">
        <v>2</v>
      </c>
      <c r="F25" s="29" t="n">
        <v>2</v>
      </c>
    </row>
    <row r="26" customFormat="false" ht="15" hidden="false" customHeight="true" outlineLevel="0" collapsed="false">
      <c r="B26" s="28" t="n">
        <v>3</v>
      </c>
      <c r="C26" s="28" t="n">
        <v>8</v>
      </c>
      <c r="D26" s="28" t="n">
        <v>0</v>
      </c>
      <c r="E26" s="28" t="n">
        <v>2</v>
      </c>
      <c r="F26" s="28" t="n">
        <v>3</v>
      </c>
    </row>
    <row r="27" customFormat="false" ht="15" hidden="false" customHeight="true" outlineLevel="0" collapsed="false">
      <c r="B27" s="29" t="n">
        <v>4</v>
      </c>
      <c r="C27" s="29" t="n">
        <v>8</v>
      </c>
      <c r="D27" s="29" t="n">
        <v>0</v>
      </c>
      <c r="E27" s="29" t="n">
        <v>2</v>
      </c>
      <c r="F27" s="29" t="n">
        <v>4</v>
      </c>
    </row>
    <row r="28" customFormat="false" ht="15" hidden="false" customHeight="true" outlineLevel="0" collapsed="false">
      <c r="B28" s="28" t="n">
        <v>5</v>
      </c>
      <c r="C28" s="28" t="n">
        <v>8</v>
      </c>
      <c r="D28" s="28" t="n">
        <v>0</v>
      </c>
      <c r="E28" s="28" t="n">
        <v>2</v>
      </c>
      <c r="F28" s="28" t="n">
        <v>5</v>
      </c>
    </row>
    <row r="29" customFormat="false" ht="15" hidden="false" customHeight="true" outlineLevel="0" collapsed="false">
      <c r="B29" s="29" t="n">
        <v>6</v>
      </c>
      <c r="C29" s="29" t="n">
        <v>8</v>
      </c>
      <c r="D29" s="29" t="n">
        <v>0</v>
      </c>
      <c r="E29" s="29" t="n">
        <v>2</v>
      </c>
      <c r="F29" s="29" t="n">
        <v>6</v>
      </c>
    </row>
    <row r="31" customFormat="false" ht="27.75" hidden="false" customHeight="true" outlineLevel="0" collapsed="false">
      <c r="B31" s="9" t="s">
        <v>143</v>
      </c>
      <c r="C31" s="9"/>
      <c r="D31" s="9"/>
      <c r="E31" s="9"/>
      <c r="F31" s="9"/>
      <c r="G31" s="9"/>
      <c r="H31" s="9"/>
    </row>
    <row r="33" customFormat="false" ht="21.75" hidden="false" customHeight="true" outlineLevel="0" collapsed="false">
      <c r="B33" s="23" t="s">
        <v>144</v>
      </c>
      <c r="C33" s="23"/>
      <c r="D33" s="23"/>
      <c r="E33" s="23"/>
      <c r="F33" s="23"/>
      <c r="G33" s="23"/>
      <c r="H33" s="23"/>
    </row>
    <row r="34" customFormat="false" ht="19.5" hidden="false" customHeight="true" outlineLevel="0" collapsed="false">
      <c r="B34" s="30" t="s">
        <v>196</v>
      </c>
      <c r="C34" s="30"/>
      <c r="D34" s="30"/>
      <c r="E34" s="30"/>
      <c r="F34" s="30"/>
      <c r="G34" s="30"/>
      <c r="H34" s="30"/>
    </row>
    <row r="35" customFormat="false" ht="19.5" hidden="false" customHeight="true" outlineLevel="0" collapsed="false">
      <c r="B35" s="30"/>
      <c r="C35" s="30"/>
      <c r="D35" s="30"/>
      <c r="E35" s="30"/>
      <c r="F35" s="30"/>
      <c r="G35" s="30"/>
      <c r="H35" s="30"/>
    </row>
    <row r="36" customFormat="false" ht="19.5" hidden="false" customHeight="true" outlineLevel="0" collapsed="false">
      <c r="B36" s="30"/>
      <c r="C36" s="30"/>
      <c r="D36" s="30"/>
      <c r="E36" s="30"/>
      <c r="F36" s="30"/>
      <c r="G36" s="30"/>
      <c r="H36" s="30"/>
    </row>
    <row r="37" customFormat="false" ht="19.5" hidden="false" customHeight="true" outlineLevel="0" collapsed="false">
      <c r="B37" s="30"/>
      <c r="C37" s="30"/>
      <c r="D37" s="30"/>
      <c r="E37" s="30"/>
      <c r="F37" s="30"/>
      <c r="G37" s="30"/>
      <c r="H37" s="30"/>
    </row>
    <row r="38" customFormat="false" ht="19.5" hidden="false" customHeight="true" outlineLevel="0" collapsed="false">
      <c r="B38" s="30"/>
      <c r="C38" s="30"/>
      <c r="D38" s="30"/>
      <c r="E38" s="30"/>
      <c r="F38" s="30"/>
      <c r="G38" s="30"/>
      <c r="H38" s="30"/>
    </row>
    <row r="40" customFormat="false" ht="21.75" hidden="false" customHeight="true" outlineLevel="0" collapsed="false">
      <c r="B40" s="23" t="s">
        <v>146</v>
      </c>
      <c r="C40" s="23"/>
      <c r="D40" s="23"/>
      <c r="E40" s="23"/>
      <c r="F40" s="23"/>
      <c r="G40" s="23"/>
      <c r="H40" s="23"/>
    </row>
    <row r="41" customFormat="false" ht="36" hidden="false" customHeight="true" outlineLevel="0" collapsed="false">
      <c r="B41" s="31" t="s">
        <v>147</v>
      </c>
      <c r="C41" s="32" t="s">
        <v>197</v>
      </c>
      <c r="D41" s="32"/>
      <c r="E41" s="32"/>
      <c r="F41" s="32"/>
      <c r="G41" s="32"/>
      <c r="H41" s="32"/>
    </row>
    <row r="42" customFormat="false" ht="36" hidden="false" customHeight="true" outlineLevel="0" collapsed="false">
      <c r="B42" s="31" t="s">
        <v>149</v>
      </c>
      <c r="C42" s="32" t="s">
        <v>198</v>
      </c>
      <c r="D42" s="32"/>
      <c r="E42" s="32"/>
      <c r="F42" s="32"/>
      <c r="G42" s="32"/>
      <c r="H42" s="32"/>
    </row>
    <row r="43" customFormat="false" ht="36" hidden="false" customHeight="true" outlineLevel="0" collapsed="false">
      <c r="B43" s="31" t="s">
        <v>151</v>
      </c>
      <c r="C43" s="32" t="s">
        <v>180</v>
      </c>
      <c r="D43" s="32"/>
      <c r="E43" s="32"/>
      <c r="F43" s="32"/>
      <c r="G43" s="32"/>
      <c r="H43" s="32"/>
    </row>
    <row r="44" customFormat="false" ht="36" hidden="false" customHeight="true" outlineLevel="0" collapsed="false">
      <c r="B44" s="31" t="s">
        <v>153</v>
      </c>
      <c r="C44" s="32" t="s">
        <v>154</v>
      </c>
      <c r="D44" s="32"/>
      <c r="E44" s="32"/>
      <c r="F44" s="32"/>
      <c r="G44" s="32"/>
      <c r="H44" s="32"/>
    </row>
    <row r="45" customFormat="false" ht="36" hidden="false" customHeight="true" outlineLevel="0" collapsed="false">
      <c r="B45" s="31" t="s">
        <v>155</v>
      </c>
      <c r="C45" s="32" t="s">
        <v>156</v>
      </c>
      <c r="D45" s="32"/>
      <c r="E45" s="32"/>
      <c r="F45" s="32"/>
      <c r="G45" s="32"/>
      <c r="H45" s="32"/>
    </row>
    <row r="46" customFormat="false" ht="36" hidden="false" customHeight="true" outlineLevel="0" collapsed="false">
      <c r="B46" s="31" t="s">
        <v>157</v>
      </c>
      <c r="C46" s="32" t="s">
        <v>199</v>
      </c>
      <c r="D46" s="32"/>
      <c r="E46" s="32"/>
      <c r="F46" s="32"/>
      <c r="G46" s="32"/>
      <c r="H46" s="32"/>
    </row>
    <row r="47" customFormat="false" ht="36" hidden="false" customHeight="true" outlineLevel="0" collapsed="false">
      <c r="B47" s="31" t="s">
        <v>159</v>
      </c>
      <c r="C47" s="32" t="s">
        <v>160</v>
      </c>
      <c r="D47" s="32"/>
      <c r="E47" s="32"/>
      <c r="F47" s="32"/>
      <c r="G47" s="32"/>
      <c r="H47" s="32"/>
    </row>
  </sheetData>
  <mergeCells count="26">
    <mergeCell ref="B2:H2"/>
    <mergeCell ref="B3:H3"/>
    <mergeCell ref="B5:H5"/>
    <mergeCell ref="C6:E6"/>
    <mergeCell ref="C7:E7"/>
    <mergeCell ref="C8:E8"/>
    <mergeCell ref="C9:E9"/>
    <mergeCell ref="C10:E10"/>
    <mergeCell ref="C11:E11"/>
    <mergeCell ref="C12:E12"/>
    <mergeCell ref="C13:E13"/>
    <mergeCell ref="C14:E14"/>
    <mergeCell ref="B16:H16"/>
    <mergeCell ref="B17:H20"/>
    <mergeCell ref="B22:H22"/>
    <mergeCell ref="B31:H31"/>
    <mergeCell ref="B33:H33"/>
    <mergeCell ref="B34:H38"/>
    <mergeCell ref="B40:H40"/>
    <mergeCell ref="C41:H41"/>
    <mergeCell ref="C42:H42"/>
    <mergeCell ref="C43:H43"/>
    <mergeCell ref="C44:H44"/>
    <mergeCell ref="C45:H45"/>
    <mergeCell ref="C46:H46"/>
    <mergeCell ref="C47:H4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H4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22"/>
    <col collapsed="false" customWidth="true" hidden="false" outlineLevel="0" max="8" min="3" style="1" width="14"/>
  </cols>
  <sheetData>
    <row r="2" customFormat="false" ht="24" hidden="false" customHeight="true" outlineLevel="0" collapsed="false">
      <c r="B2" s="21" t="s">
        <v>200</v>
      </c>
      <c r="C2" s="21"/>
      <c r="D2" s="21"/>
      <c r="E2" s="21"/>
      <c r="F2" s="21"/>
      <c r="G2" s="21"/>
      <c r="H2" s="21"/>
    </row>
    <row r="3" customFormat="false" ht="15" hidden="false" customHeight="true" outlineLevel="0" collapsed="false">
      <c r="B3" s="22" t="s">
        <v>201</v>
      </c>
      <c r="C3" s="22"/>
      <c r="D3" s="22"/>
      <c r="E3" s="22"/>
      <c r="F3" s="22"/>
      <c r="G3" s="22"/>
      <c r="H3" s="22"/>
    </row>
    <row r="5" customFormat="false" ht="21.75" hidden="false" customHeight="true" outlineLevel="0" collapsed="false">
      <c r="B5" s="23" t="s">
        <v>117</v>
      </c>
      <c r="C5" s="23"/>
      <c r="D5" s="23"/>
      <c r="E5" s="23"/>
      <c r="F5" s="23"/>
      <c r="G5" s="23"/>
      <c r="H5" s="23"/>
    </row>
    <row r="6" customFormat="false" ht="15" hidden="false" customHeight="true" outlineLevel="0" collapsed="false">
      <c r="B6" s="24" t="s">
        <v>118</v>
      </c>
      <c r="C6" s="25" t="s">
        <v>193</v>
      </c>
      <c r="D6" s="25"/>
      <c r="E6" s="25"/>
    </row>
    <row r="7" customFormat="false" ht="15" hidden="false" customHeight="true" outlineLevel="0" collapsed="false">
      <c r="B7" s="24" t="s">
        <v>120</v>
      </c>
      <c r="C7" s="25" t="s">
        <v>163</v>
      </c>
      <c r="D7" s="25"/>
      <c r="E7" s="25"/>
    </row>
    <row r="8" customFormat="false" ht="15" hidden="false" customHeight="true" outlineLevel="0" collapsed="false">
      <c r="B8" s="24" t="s">
        <v>122</v>
      </c>
      <c r="C8" s="25" t="s">
        <v>123</v>
      </c>
      <c r="D8" s="25"/>
      <c r="E8" s="25"/>
    </row>
    <row r="9" customFormat="false" ht="15" hidden="false" customHeight="true" outlineLevel="0" collapsed="false">
      <c r="B9" s="24" t="s">
        <v>124</v>
      </c>
      <c r="C9" s="25" t="s">
        <v>202</v>
      </c>
      <c r="D9" s="25"/>
      <c r="E9" s="25"/>
    </row>
    <row r="10" customFormat="false" ht="15" hidden="false" customHeight="true" outlineLevel="0" collapsed="false">
      <c r="B10" s="24" t="s">
        <v>126</v>
      </c>
      <c r="C10" s="25" t="s">
        <v>48</v>
      </c>
      <c r="D10" s="25"/>
      <c r="E10" s="25"/>
    </row>
    <row r="11" customFormat="false" ht="15" hidden="false" customHeight="true" outlineLevel="0" collapsed="false">
      <c r="B11" s="24" t="s">
        <v>127</v>
      </c>
      <c r="C11" s="25" t="s">
        <v>194</v>
      </c>
      <c r="D11" s="25"/>
      <c r="E11" s="25"/>
    </row>
    <row r="12" customFormat="false" ht="15" hidden="false" customHeight="true" outlineLevel="0" collapsed="false">
      <c r="B12" s="24" t="s">
        <v>129</v>
      </c>
      <c r="C12" s="25" t="s">
        <v>203</v>
      </c>
      <c r="D12" s="25"/>
      <c r="E12" s="25"/>
    </row>
    <row r="13" customFormat="false" ht="15" hidden="false" customHeight="true" outlineLevel="0" collapsed="false">
      <c r="B13" s="24" t="s">
        <v>131</v>
      </c>
      <c r="C13" s="25" t="s">
        <v>184</v>
      </c>
      <c r="D13" s="25"/>
      <c r="E13" s="25"/>
    </row>
    <row r="14" customFormat="false" ht="15" hidden="false" customHeight="true" outlineLevel="0" collapsed="false">
      <c r="B14" s="24" t="s">
        <v>133</v>
      </c>
      <c r="C14" s="25" t="s">
        <v>185</v>
      </c>
      <c r="D14" s="25"/>
      <c r="E14" s="25"/>
    </row>
    <row r="16" customFormat="false" ht="21.75" hidden="false" customHeight="true" outlineLevel="0" collapsed="false">
      <c r="B16" s="23" t="s">
        <v>135</v>
      </c>
      <c r="C16" s="23"/>
      <c r="D16" s="23"/>
      <c r="E16" s="23"/>
      <c r="F16" s="23"/>
      <c r="G16" s="23"/>
      <c r="H16" s="23"/>
    </row>
    <row r="17" customFormat="false" ht="18" hidden="false" customHeight="true" outlineLevel="0" collapsed="false">
      <c r="B17" s="26" t="s">
        <v>204</v>
      </c>
      <c r="C17" s="26"/>
      <c r="D17" s="26"/>
      <c r="E17" s="26"/>
      <c r="F17" s="26"/>
      <c r="G17" s="26"/>
      <c r="H17" s="26"/>
    </row>
    <row r="18" customFormat="false" ht="18" hidden="false" customHeight="true" outlineLevel="0" collapsed="false">
      <c r="B18" s="26"/>
      <c r="C18" s="26"/>
      <c r="D18" s="26"/>
      <c r="E18" s="26"/>
      <c r="F18" s="26"/>
      <c r="G18" s="26"/>
      <c r="H18" s="26"/>
    </row>
    <row r="19" customFormat="false" ht="18" hidden="false" customHeight="true" outlineLevel="0" collapsed="false">
      <c r="B19" s="26"/>
      <c r="C19" s="26"/>
      <c r="D19" s="26"/>
      <c r="E19" s="26"/>
      <c r="F19" s="26"/>
      <c r="G19" s="26"/>
      <c r="H19" s="26"/>
    </row>
    <row r="20" customFormat="false" ht="18" hidden="false" customHeight="true" outlineLevel="0" collapsed="false">
      <c r="B20" s="26"/>
      <c r="C20" s="26"/>
      <c r="D20" s="26"/>
      <c r="E20" s="26"/>
      <c r="F20" s="26"/>
      <c r="G20" s="26"/>
      <c r="H20" s="26"/>
    </row>
    <row r="22" customFormat="false" ht="21.75" hidden="false" customHeight="true" outlineLevel="0" collapsed="false">
      <c r="B22" s="23" t="s">
        <v>137</v>
      </c>
      <c r="C22" s="23"/>
      <c r="D22" s="23"/>
      <c r="E22" s="23"/>
      <c r="F22" s="23"/>
      <c r="G22" s="23"/>
      <c r="H22" s="23"/>
    </row>
    <row r="23" customFormat="false" ht="30" hidden="false" customHeight="true" outlineLevel="0" collapsed="false">
      <c r="B23" s="27" t="s">
        <v>138</v>
      </c>
      <c r="C23" s="27" t="s">
        <v>139</v>
      </c>
      <c r="D23" s="27" t="s">
        <v>140</v>
      </c>
      <c r="E23" s="27" t="s">
        <v>141</v>
      </c>
      <c r="F23" s="27" t="s">
        <v>142</v>
      </c>
    </row>
    <row r="24" customFormat="false" ht="15" hidden="false" customHeight="true" outlineLevel="0" collapsed="false">
      <c r="B24" s="28" t="n">
        <v>1</v>
      </c>
      <c r="C24" s="28" t="n">
        <v>8</v>
      </c>
      <c r="D24" s="28" t="n">
        <v>1</v>
      </c>
      <c r="E24" s="28" t="n">
        <v>2</v>
      </c>
      <c r="F24" s="28" t="n">
        <v>0</v>
      </c>
    </row>
    <row r="25" customFormat="false" ht="15" hidden="false" customHeight="true" outlineLevel="0" collapsed="false">
      <c r="B25" s="29" t="n">
        <v>2</v>
      </c>
      <c r="C25" s="29" t="n">
        <v>8</v>
      </c>
      <c r="D25" s="29" t="n">
        <v>1</v>
      </c>
      <c r="E25" s="29" t="n">
        <v>2</v>
      </c>
      <c r="F25" s="29" t="n">
        <v>1</v>
      </c>
    </row>
    <row r="26" customFormat="false" ht="15" hidden="false" customHeight="true" outlineLevel="0" collapsed="false">
      <c r="B26" s="28" t="n">
        <v>3</v>
      </c>
      <c r="C26" s="28" t="n">
        <v>8</v>
      </c>
      <c r="D26" s="28" t="n">
        <v>1</v>
      </c>
      <c r="E26" s="28" t="n">
        <v>2</v>
      </c>
      <c r="F26" s="28" t="n">
        <v>2</v>
      </c>
    </row>
    <row r="27" customFormat="false" ht="15" hidden="false" customHeight="true" outlineLevel="0" collapsed="false">
      <c r="B27" s="29" t="n">
        <v>4</v>
      </c>
      <c r="C27" s="29" t="n">
        <v>8</v>
      </c>
      <c r="D27" s="29" t="n">
        <v>1</v>
      </c>
      <c r="E27" s="29" t="n">
        <v>2</v>
      </c>
      <c r="F27" s="29" t="n">
        <v>3</v>
      </c>
    </row>
    <row r="28" customFormat="false" ht="15" hidden="false" customHeight="true" outlineLevel="0" collapsed="false">
      <c r="B28" s="28" t="n">
        <v>5</v>
      </c>
      <c r="C28" s="28" t="n">
        <v>8</v>
      </c>
      <c r="D28" s="28" t="n">
        <v>1</v>
      </c>
      <c r="E28" s="28" t="n">
        <v>2</v>
      </c>
      <c r="F28" s="28" t="n">
        <v>4</v>
      </c>
    </row>
    <row r="29" customFormat="false" ht="15" hidden="false" customHeight="true" outlineLevel="0" collapsed="false">
      <c r="B29" s="29" t="n">
        <v>6</v>
      </c>
      <c r="C29" s="29" t="n">
        <v>8</v>
      </c>
      <c r="D29" s="29" t="n">
        <v>1</v>
      </c>
      <c r="E29" s="29" t="n">
        <v>2</v>
      </c>
      <c r="F29" s="29" t="n">
        <v>5</v>
      </c>
    </row>
    <row r="31" customFormat="false" ht="27.75" hidden="false" customHeight="true" outlineLevel="0" collapsed="false">
      <c r="B31" s="9" t="s">
        <v>205</v>
      </c>
      <c r="C31" s="9"/>
      <c r="D31" s="9"/>
      <c r="E31" s="9"/>
      <c r="F31" s="9"/>
      <c r="G31" s="9"/>
      <c r="H31" s="9"/>
    </row>
    <row r="33" customFormat="false" ht="21.75" hidden="false" customHeight="true" outlineLevel="0" collapsed="false">
      <c r="B33" s="23" t="s">
        <v>144</v>
      </c>
      <c r="C33" s="23"/>
      <c r="D33" s="23"/>
      <c r="E33" s="23"/>
      <c r="F33" s="23"/>
      <c r="G33" s="23"/>
      <c r="H33" s="23"/>
    </row>
    <row r="34" customFormat="false" ht="19.5" hidden="false" customHeight="true" outlineLevel="0" collapsed="false">
      <c r="B34" s="30" t="s">
        <v>196</v>
      </c>
      <c r="C34" s="30"/>
      <c r="D34" s="30"/>
      <c r="E34" s="30"/>
      <c r="F34" s="30"/>
      <c r="G34" s="30"/>
      <c r="H34" s="30"/>
    </row>
    <row r="35" customFormat="false" ht="19.5" hidden="false" customHeight="true" outlineLevel="0" collapsed="false">
      <c r="B35" s="30"/>
      <c r="C35" s="30"/>
      <c r="D35" s="30"/>
      <c r="E35" s="30"/>
      <c r="F35" s="30"/>
      <c r="G35" s="30"/>
      <c r="H35" s="30"/>
    </row>
    <row r="36" customFormat="false" ht="19.5" hidden="false" customHeight="true" outlineLevel="0" collapsed="false">
      <c r="B36" s="30"/>
      <c r="C36" s="30"/>
      <c r="D36" s="30"/>
      <c r="E36" s="30"/>
      <c r="F36" s="30"/>
      <c r="G36" s="30"/>
      <c r="H36" s="30"/>
    </row>
    <row r="37" customFormat="false" ht="19.5" hidden="false" customHeight="true" outlineLevel="0" collapsed="false">
      <c r="B37" s="30"/>
      <c r="C37" s="30"/>
      <c r="D37" s="30"/>
      <c r="E37" s="30"/>
      <c r="F37" s="30"/>
      <c r="G37" s="30"/>
      <c r="H37" s="30"/>
    </row>
    <row r="38" customFormat="false" ht="19.5" hidden="false" customHeight="true" outlineLevel="0" collapsed="false">
      <c r="B38" s="30"/>
      <c r="C38" s="30"/>
      <c r="D38" s="30"/>
      <c r="E38" s="30"/>
      <c r="F38" s="30"/>
      <c r="G38" s="30"/>
      <c r="H38" s="30"/>
    </row>
    <row r="40" customFormat="false" ht="21.75" hidden="false" customHeight="true" outlineLevel="0" collapsed="false">
      <c r="B40" s="23" t="s">
        <v>146</v>
      </c>
      <c r="C40" s="23"/>
      <c r="D40" s="23"/>
      <c r="E40" s="23"/>
      <c r="F40" s="23"/>
      <c r="G40" s="23"/>
      <c r="H40" s="23"/>
    </row>
    <row r="41" customFormat="false" ht="36" hidden="false" customHeight="true" outlineLevel="0" collapsed="false">
      <c r="B41" s="31" t="s">
        <v>147</v>
      </c>
      <c r="C41" s="32" t="s">
        <v>206</v>
      </c>
      <c r="D41" s="32"/>
      <c r="E41" s="32"/>
      <c r="F41" s="32"/>
      <c r="G41" s="32"/>
      <c r="H41" s="32"/>
    </row>
    <row r="42" customFormat="false" ht="36" hidden="false" customHeight="true" outlineLevel="0" collapsed="false">
      <c r="B42" s="31" t="s">
        <v>149</v>
      </c>
      <c r="C42" s="32" t="s">
        <v>198</v>
      </c>
      <c r="D42" s="32"/>
      <c r="E42" s="32"/>
      <c r="F42" s="32"/>
      <c r="G42" s="32"/>
      <c r="H42" s="32"/>
    </row>
    <row r="43" customFormat="false" ht="36" hidden="false" customHeight="true" outlineLevel="0" collapsed="false">
      <c r="B43" s="31" t="s">
        <v>151</v>
      </c>
      <c r="C43" s="32" t="s">
        <v>180</v>
      </c>
      <c r="D43" s="32"/>
      <c r="E43" s="32"/>
      <c r="F43" s="32"/>
      <c r="G43" s="32"/>
      <c r="H43" s="32"/>
    </row>
    <row r="44" customFormat="false" ht="36" hidden="false" customHeight="true" outlineLevel="0" collapsed="false">
      <c r="B44" s="31" t="s">
        <v>153</v>
      </c>
      <c r="C44" s="32" t="s">
        <v>154</v>
      </c>
      <c r="D44" s="32"/>
      <c r="E44" s="32"/>
      <c r="F44" s="32"/>
      <c r="G44" s="32"/>
      <c r="H44" s="32"/>
    </row>
    <row r="45" customFormat="false" ht="36" hidden="false" customHeight="true" outlineLevel="0" collapsed="false">
      <c r="B45" s="31" t="s">
        <v>155</v>
      </c>
      <c r="C45" s="32" t="s">
        <v>156</v>
      </c>
      <c r="D45" s="32"/>
      <c r="E45" s="32"/>
      <c r="F45" s="32"/>
      <c r="G45" s="32"/>
      <c r="H45" s="32"/>
    </row>
    <row r="46" customFormat="false" ht="36" hidden="false" customHeight="true" outlineLevel="0" collapsed="false">
      <c r="B46" s="31" t="s">
        <v>157</v>
      </c>
      <c r="C46" s="32" t="s">
        <v>199</v>
      </c>
      <c r="D46" s="32"/>
      <c r="E46" s="32"/>
      <c r="F46" s="32"/>
      <c r="G46" s="32"/>
      <c r="H46" s="32"/>
    </row>
    <row r="47" customFormat="false" ht="36" hidden="false" customHeight="true" outlineLevel="0" collapsed="false">
      <c r="B47" s="31" t="s">
        <v>159</v>
      </c>
      <c r="C47" s="32" t="s">
        <v>160</v>
      </c>
      <c r="D47" s="32"/>
      <c r="E47" s="32"/>
      <c r="F47" s="32"/>
      <c r="G47" s="32"/>
      <c r="H47" s="32"/>
    </row>
  </sheetData>
  <mergeCells count="26">
    <mergeCell ref="B2:H2"/>
    <mergeCell ref="B3:H3"/>
    <mergeCell ref="B5:H5"/>
    <mergeCell ref="C6:E6"/>
    <mergeCell ref="C7:E7"/>
    <mergeCell ref="C8:E8"/>
    <mergeCell ref="C9:E9"/>
    <mergeCell ref="C10:E10"/>
    <mergeCell ref="C11:E11"/>
    <mergeCell ref="C12:E12"/>
    <mergeCell ref="C13:E13"/>
    <mergeCell ref="C14:E14"/>
    <mergeCell ref="B16:H16"/>
    <mergeCell ref="B17:H20"/>
    <mergeCell ref="B22:H22"/>
    <mergeCell ref="B31:H31"/>
    <mergeCell ref="B33:H33"/>
    <mergeCell ref="B34:H38"/>
    <mergeCell ref="B40:H40"/>
    <mergeCell ref="C41:H41"/>
    <mergeCell ref="C42:H42"/>
    <mergeCell ref="C43:H43"/>
    <mergeCell ref="C44:H44"/>
    <mergeCell ref="C45:H45"/>
    <mergeCell ref="C46:H46"/>
    <mergeCell ref="C47:H4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H4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22"/>
    <col collapsed="false" customWidth="true" hidden="false" outlineLevel="0" max="8" min="3" style="1" width="14"/>
  </cols>
  <sheetData>
    <row r="2" customFormat="false" ht="24" hidden="false" customHeight="true" outlineLevel="0" collapsed="false">
      <c r="B2" s="21" t="s">
        <v>207</v>
      </c>
      <c r="C2" s="21"/>
      <c r="D2" s="21"/>
      <c r="E2" s="21"/>
      <c r="F2" s="21"/>
      <c r="G2" s="21"/>
      <c r="H2" s="21"/>
    </row>
    <row r="3" customFormat="false" ht="15" hidden="false" customHeight="true" outlineLevel="0" collapsed="false">
      <c r="B3" s="22" t="s">
        <v>208</v>
      </c>
      <c r="C3" s="22"/>
      <c r="D3" s="22"/>
      <c r="E3" s="22"/>
      <c r="F3" s="22"/>
      <c r="G3" s="22"/>
      <c r="H3" s="22"/>
    </row>
    <row r="5" customFormat="false" ht="21.75" hidden="false" customHeight="true" outlineLevel="0" collapsed="false">
      <c r="B5" s="23" t="s">
        <v>117</v>
      </c>
      <c r="C5" s="23"/>
      <c r="D5" s="23"/>
      <c r="E5" s="23"/>
      <c r="F5" s="23"/>
      <c r="G5" s="23"/>
      <c r="H5" s="23"/>
    </row>
    <row r="6" customFormat="false" ht="15" hidden="false" customHeight="true" outlineLevel="0" collapsed="false">
      <c r="B6" s="24" t="s">
        <v>118</v>
      </c>
      <c r="C6" s="25" t="s">
        <v>193</v>
      </c>
      <c r="D6" s="25"/>
      <c r="E6" s="25"/>
    </row>
    <row r="7" customFormat="false" ht="15" hidden="false" customHeight="true" outlineLevel="0" collapsed="false">
      <c r="B7" s="24" t="s">
        <v>120</v>
      </c>
      <c r="C7" s="25" t="s">
        <v>176</v>
      </c>
      <c r="D7" s="25"/>
      <c r="E7" s="25"/>
    </row>
    <row r="8" customFormat="false" ht="15" hidden="false" customHeight="true" outlineLevel="0" collapsed="false">
      <c r="B8" s="24" t="s">
        <v>122</v>
      </c>
      <c r="C8" s="25" t="s">
        <v>123</v>
      </c>
      <c r="D8" s="25"/>
      <c r="E8" s="25"/>
    </row>
    <row r="9" customFormat="false" ht="15" hidden="false" customHeight="true" outlineLevel="0" collapsed="false">
      <c r="B9" s="24" t="s">
        <v>124</v>
      </c>
      <c r="C9" s="25" t="s">
        <v>209</v>
      </c>
      <c r="D9" s="25"/>
      <c r="E9" s="25"/>
    </row>
    <row r="10" customFormat="false" ht="15" hidden="false" customHeight="true" outlineLevel="0" collapsed="false">
      <c r="B10" s="24" t="s">
        <v>126</v>
      </c>
      <c r="C10" s="25" t="s">
        <v>48</v>
      </c>
      <c r="D10" s="25"/>
      <c r="E10" s="25"/>
    </row>
    <row r="11" customFormat="false" ht="15" hidden="false" customHeight="true" outlineLevel="0" collapsed="false">
      <c r="B11" s="24" t="s">
        <v>127</v>
      </c>
      <c r="C11" s="25" t="s">
        <v>194</v>
      </c>
      <c r="D11" s="25"/>
      <c r="E11" s="25"/>
    </row>
    <row r="12" customFormat="false" ht="15" hidden="false" customHeight="true" outlineLevel="0" collapsed="false">
      <c r="B12" s="24" t="s">
        <v>129</v>
      </c>
      <c r="C12" s="25" t="s">
        <v>166</v>
      </c>
      <c r="D12" s="25"/>
      <c r="E12" s="25"/>
    </row>
    <row r="13" customFormat="false" ht="15" hidden="false" customHeight="true" outlineLevel="0" collapsed="false">
      <c r="B13" s="24" t="s">
        <v>131</v>
      </c>
      <c r="C13" s="25" t="s">
        <v>184</v>
      </c>
      <c r="D13" s="25"/>
      <c r="E13" s="25"/>
    </row>
    <row r="14" customFormat="false" ht="15" hidden="false" customHeight="true" outlineLevel="0" collapsed="false">
      <c r="B14" s="24" t="s">
        <v>133</v>
      </c>
      <c r="C14" s="25" t="s">
        <v>185</v>
      </c>
      <c r="D14" s="25"/>
      <c r="E14" s="25"/>
    </row>
    <row r="16" customFormat="false" ht="21.75" hidden="false" customHeight="true" outlineLevel="0" collapsed="false">
      <c r="B16" s="23" t="s">
        <v>135</v>
      </c>
      <c r="C16" s="23"/>
      <c r="D16" s="23"/>
      <c r="E16" s="23"/>
      <c r="F16" s="23"/>
      <c r="G16" s="23"/>
      <c r="H16" s="23"/>
    </row>
    <row r="17" customFormat="false" ht="18" hidden="false" customHeight="true" outlineLevel="0" collapsed="false">
      <c r="B17" s="26" t="s">
        <v>210</v>
      </c>
      <c r="C17" s="26"/>
      <c r="D17" s="26"/>
      <c r="E17" s="26"/>
      <c r="F17" s="26"/>
      <c r="G17" s="26"/>
      <c r="H17" s="26"/>
    </row>
    <row r="18" customFormat="false" ht="18" hidden="false" customHeight="true" outlineLevel="0" collapsed="false">
      <c r="B18" s="26"/>
      <c r="C18" s="26"/>
      <c r="D18" s="26"/>
      <c r="E18" s="26"/>
      <c r="F18" s="26"/>
      <c r="G18" s="26"/>
      <c r="H18" s="26"/>
    </row>
    <row r="19" customFormat="false" ht="18" hidden="false" customHeight="true" outlineLevel="0" collapsed="false">
      <c r="B19" s="26"/>
      <c r="C19" s="26"/>
      <c r="D19" s="26"/>
      <c r="E19" s="26"/>
      <c r="F19" s="26"/>
      <c r="G19" s="26"/>
      <c r="H19" s="26"/>
    </row>
    <row r="20" customFormat="false" ht="18" hidden="false" customHeight="true" outlineLevel="0" collapsed="false">
      <c r="B20" s="26"/>
      <c r="C20" s="26"/>
      <c r="D20" s="26"/>
      <c r="E20" s="26"/>
      <c r="F20" s="26"/>
      <c r="G20" s="26"/>
      <c r="H20" s="26"/>
    </row>
    <row r="22" customFormat="false" ht="21.75" hidden="false" customHeight="true" outlineLevel="0" collapsed="false">
      <c r="B22" s="23" t="s">
        <v>137</v>
      </c>
      <c r="C22" s="23"/>
      <c r="D22" s="23"/>
      <c r="E22" s="23"/>
      <c r="F22" s="23"/>
      <c r="G22" s="23"/>
      <c r="H22" s="23"/>
    </row>
    <row r="23" customFormat="false" ht="30" hidden="false" customHeight="true" outlineLevel="0" collapsed="false">
      <c r="B23" s="27" t="s">
        <v>138</v>
      </c>
      <c r="C23" s="27" t="s">
        <v>139</v>
      </c>
      <c r="D23" s="27" t="s">
        <v>140</v>
      </c>
      <c r="E23" s="27" t="s">
        <v>141</v>
      </c>
      <c r="F23" s="27" t="s">
        <v>142</v>
      </c>
    </row>
    <row r="24" customFormat="false" ht="15" hidden="false" customHeight="true" outlineLevel="0" collapsed="false">
      <c r="B24" s="28" t="n">
        <v>1</v>
      </c>
      <c r="C24" s="28" t="n">
        <v>8</v>
      </c>
      <c r="D24" s="28" t="n">
        <v>2</v>
      </c>
      <c r="E24" s="28" t="n">
        <v>2</v>
      </c>
      <c r="F24" s="28" t="n">
        <v>0</v>
      </c>
    </row>
    <row r="25" customFormat="false" ht="15" hidden="false" customHeight="true" outlineLevel="0" collapsed="false">
      <c r="B25" s="29" t="n">
        <v>2</v>
      </c>
      <c r="C25" s="29" t="n">
        <v>8</v>
      </c>
      <c r="D25" s="29" t="n">
        <v>2</v>
      </c>
      <c r="E25" s="29" t="n">
        <v>2</v>
      </c>
      <c r="F25" s="29" t="n">
        <v>1</v>
      </c>
    </row>
    <row r="26" customFormat="false" ht="15" hidden="false" customHeight="true" outlineLevel="0" collapsed="false">
      <c r="B26" s="28" t="n">
        <v>3</v>
      </c>
      <c r="C26" s="28" t="n">
        <v>8</v>
      </c>
      <c r="D26" s="28" t="n">
        <v>2</v>
      </c>
      <c r="E26" s="28" t="n">
        <v>2</v>
      </c>
      <c r="F26" s="28" t="n">
        <v>2</v>
      </c>
    </row>
    <row r="27" customFormat="false" ht="15" hidden="false" customHeight="true" outlineLevel="0" collapsed="false">
      <c r="B27" s="29" t="n">
        <v>4</v>
      </c>
      <c r="C27" s="29" t="n">
        <v>8</v>
      </c>
      <c r="D27" s="29" t="n">
        <v>2</v>
      </c>
      <c r="E27" s="29" t="n">
        <v>2</v>
      </c>
      <c r="F27" s="29" t="n">
        <v>3</v>
      </c>
    </row>
    <row r="28" customFormat="false" ht="15" hidden="false" customHeight="true" outlineLevel="0" collapsed="false">
      <c r="B28" s="28" t="n">
        <v>5</v>
      </c>
      <c r="C28" s="28" t="n">
        <v>8</v>
      </c>
      <c r="D28" s="28" t="n">
        <v>2</v>
      </c>
      <c r="E28" s="28" t="n">
        <v>2</v>
      </c>
      <c r="F28" s="28" t="n">
        <v>4</v>
      </c>
    </row>
    <row r="29" customFormat="false" ht="15" hidden="false" customHeight="true" outlineLevel="0" collapsed="false">
      <c r="B29" s="29" t="n">
        <v>6</v>
      </c>
      <c r="C29" s="29" t="n">
        <v>8</v>
      </c>
      <c r="D29" s="29" t="n">
        <v>2</v>
      </c>
      <c r="E29" s="29" t="n">
        <v>2</v>
      </c>
      <c r="F29" s="29" t="n">
        <v>4</v>
      </c>
    </row>
    <row r="31" customFormat="false" ht="27.75" hidden="false" customHeight="true" outlineLevel="0" collapsed="false">
      <c r="B31" s="9" t="s">
        <v>178</v>
      </c>
      <c r="C31" s="9"/>
      <c r="D31" s="9"/>
      <c r="E31" s="9"/>
      <c r="F31" s="9"/>
      <c r="G31" s="9"/>
      <c r="H31" s="9"/>
    </row>
    <row r="33" customFormat="false" ht="21.75" hidden="false" customHeight="true" outlineLevel="0" collapsed="false">
      <c r="B33" s="23" t="s">
        <v>144</v>
      </c>
      <c r="C33" s="23"/>
      <c r="D33" s="23"/>
      <c r="E33" s="23"/>
      <c r="F33" s="23"/>
      <c r="G33" s="23"/>
      <c r="H33" s="23"/>
    </row>
    <row r="34" customFormat="false" ht="19.5" hidden="false" customHeight="true" outlineLevel="0" collapsed="false">
      <c r="B34" s="30" t="s">
        <v>196</v>
      </c>
      <c r="C34" s="30"/>
      <c r="D34" s="30"/>
      <c r="E34" s="30"/>
      <c r="F34" s="30"/>
      <c r="G34" s="30"/>
      <c r="H34" s="30"/>
    </row>
    <row r="35" customFormat="false" ht="19.5" hidden="false" customHeight="true" outlineLevel="0" collapsed="false">
      <c r="B35" s="30"/>
      <c r="C35" s="30"/>
      <c r="D35" s="30"/>
      <c r="E35" s="30"/>
      <c r="F35" s="30"/>
      <c r="G35" s="30"/>
      <c r="H35" s="30"/>
    </row>
    <row r="36" customFormat="false" ht="19.5" hidden="false" customHeight="true" outlineLevel="0" collapsed="false">
      <c r="B36" s="30"/>
      <c r="C36" s="30"/>
      <c r="D36" s="30"/>
      <c r="E36" s="30"/>
      <c r="F36" s="30"/>
      <c r="G36" s="30"/>
      <c r="H36" s="30"/>
    </row>
    <row r="37" customFormat="false" ht="19.5" hidden="false" customHeight="true" outlineLevel="0" collapsed="false">
      <c r="B37" s="30"/>
      <c r="C37" s="30"/>
      <c r="D37" s="30"/>
      <c r="E37" s="30"/>
      <c r="F37" s="30"/>
      <c r="G37" s="30"/>
      <c r="H37" s="30"/>
    </row>
    <row r="38" customFormat="false" ht="19.5" hidden="false" customHeight="true" outlineLevel="0" collapsed="false">
      <c r="B38" s="30"/>
      <c r="C38" s="30"/>
      <c r="D38" s="30"/>
      <c r="E38" s="30"/>
      <c r="F38" s="30"/>
      <c r="G38" s="30"/>
      <c r="H38" s="30"/>
    </row>
    <row r="40" customFormat="false" ht="21.75" hidden="false" customHeight="true" outlineLevel="0" collapsed="false">
      <c r="B40" s="23" t="s">
        <v>146</v>
      </c>
      <c r="C40" s="23"/>
      <c r="D40" s="23"/>
      <c r="E40" s="23"/>
      <c r="F40" s="23"/>
      <c r="G40" s="23"/>
      <c r="H40" s="23"/>
    </row>
    <row r="41" customFormat="false" ht="36" hidden="false" customHeight="true" outlineLevel="0" collapsed="false">
      <c r="B41" s="31" t="s">
        <v>147</v>
      </c>
      <c r="C41" s="32" t="s">
        <v>211</v>
      </c>
      <c r="D41" s="32"/>
      <c r="E41" s="32"/>
      <c r="F41" s="32"/>
      <c r="G41" s="32"/>
      <c r="H41" s="32"/>
    </row>
    <row r="42" customFormat="false" ht="36" hidden="false" customHeight="true" outlineLevel="0" collapsed="false">
      <c r="B42" s="31" t="s">
        <v>149</v>
      </c>
      <c r="C42" s="32" t="s">
        <v>198</v>
      </c>
      <c r="D42" s="32"/>
      <c r="E42" s="32"/>
      <c r="F42" s="32"/>
      <c r="G42" s="32"/>
      <c r="H42" s="32"/>
    </row>
    <row r="43" customFormat="false" ht="36" hidden="false" customHeight="true" outlineLevel="0" collapsed="false">
      <c r="B43" s="31" t="s">
        <v>151</v>
      </c>
      <c r="C43" s="32" t="s">
        <v>180</v>
      </c>
      <c r="D43" s="32"/>
      <c r="E43" s="32"/>
      <c r="F43" s="32"/>
      <c r="G43" s="32"/>
      <c r="H43" s="32"/>
    </row>
    <row r="44" customFormat="false" ht="36" hidden="false" customHeight="true" outlineLevel="0" collapsed="false">
      <c r="B44" s="31" t="s">
        <v>153</v>
      </c>
      <c r="C44" s="32" t="s">
        <v>154</v>
      </c>
      <c r="D44" s="32"/>
      <c r="E44" s="32"/>
      <c r="F44" s="32"/>
      <c r="G44" s="32"/>
      <c r="H44" s="32"/>
    </row>
    <row r="45" customFormat="false" ht="36" hidden="false" customHeight="true" outlineLevel="0" collapsed="false">
      <c r="B45" s="31" t="s">
        <v>155</v>
      </c>
      <c r="C45" s="32" t="s">
        <v>156</v>
      </c>
      <c r="D45" s="32"/>
      <c r="E45" s="32"/>
      <c r="F45" s="32"/>
      <c r="G45" s="32"/>
      <c r="H45" s="32"/>
    </row>
    <row r="46" customFormat="false" ht="36" hidden="false" customHeight="true" outlineLevel="0" collapsed="false">
      <c r="B46" s="31" t="s">
        <v>157</v>
      </c>
      <c r="C46" s="32" t="s">
        <v>199</v>
      </c>
      <c r="D46" s="32"/>
      <c r="E46" s="32"/>
      <c r="F46" s="32"/>
      <c r="G46" s="32"/>
      <c r="H46" s="32"/>
    </row>
    <row r="47" customFormat="false" ht="36" hidden="false" customHeight="true" outlineLevel="0" collapsed="false">
      <c r="B47" s="31" t="s">
        <v>159</v>
      </c>
      <c r="C47" s="32" t="s">
        <v>160</v>
      </c>
      <c r="D47" s="32"/>
      <c r="E47" s="32"/>
      <c r="F47" s="32"/>
      <c r="G47" s="32"/>
      <c r="H47" s="32"/>
    </row>
  </sheetData>
  <mergeCells count="26">
    <mergeCell ref="B2:H2"/>
    <mergeCell ref="B3:H3"/>
    <mergeCell ref="B5:H5"/>
    <mergeCell ref="C6:E6"/>
    <mergeCell ref="C7:E7"/>
    <mergeCell ref="C8:E8"/>
    <mergeCell ref="C9:E9"/>
    <mergeCell ref="C10:E10"/>
    <mergeCell ref="C11:E11"/>
    <mergeCell ref="C12:E12"/>
    <mergeCell ref="C13:E13"/>
    <mergeCell ref="C14:E14"/>
    <mergeCell ref="B16:H16"/>
    <mergeCell ref="B17:H20"/>
    <mergeCell ref="B22:H22"/>
    <mergeCell ref="B31:H31"/>
    <mergeCell ref="B33:H33"/>
    <mergeCell ref="B34:H38"/>
    <mergeCell ref="B40:H40"/>
    <mergeCell ref="C41:H41"/>
    <mergeCell ref="C42:H42"/>
    <mergeCell ref="C43:H43"/>
    <mergeCell ref="C44:H44"/>
    <mergeCell ref="C45:H45"/>
    <mergeCell ref="C46:H46"/>
    <mergeCell ref="C47:H4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H4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22"/>
    <col collapsed="false" customWidth="true" hidden="false" outlineLevel="0" max="8" min="3" style="1" width="14"/>
  </cols>
  <sheetData>
    <row r="2" customFormat="false" ht="24" hidden="false" customHeight="true" outlineLevel="0" collapsed="false">
      <c r="B2" s="21" t="s">
        <v>212</v>
      </c>
      <c r="C2" s="21"/>
      <c r="D2" s="21"/>
      <c r="E2" s="21"/>
      <c r="F2" s="21"/>
      <c r="G2" s="21"/>
      <c r="H2" s="21"/>
    </row>
    <row r="3" customFormat="false" ht="15" hidden="false" customHeight="true" outlineLevel="0" collapsed="false">
      <c r="B3" s="22" t="s">
        <v>213</v>
      </c>
      <c r="C3" s="22"/>
      <c r="D3" s="22"/>
      <c r="E3" s="22"/>
      <c r="F3" s="22"/>
      <c r="G3" s="22"/>
      <c r="H3" s="22"/>
    </row>
    <row r="5" customFormat="false" ht="21.75" hidden="false" customHeight="true" outlineLevel="0" collapsed="false">
      <c r="B5" s="23" t="s">
        <v>117</v>
      </c>
      <c r="C5" s="23"/>
      <c r="D5" s="23"/>
      <c r="E5" s="23"/>
      <c r="F5" s="23"/>
      <c r="G5" s="23"/>
      <c r="H5" s="23"/>
    </row>
    <row r="6" customFormat="false" ht="15" hidden="false" customHeight="true" outlineLevel="0" collapsed="false">
      <c r="B6" s="24" t="s">
        <v>118</v>
      </c>
      <c r="C6" s="25" t="s">
        <v>193</v>
      </c>
      <c r="D6" s="25"/>
      <c r="E6" s="25"/>
    </row>
    <row r="7" customFormat="false" ht="15" hidden="false" customHeight="true" outlineLevel="0" collapsed="false">
      <c r="B7" s="24" t="s">
        <v>120</v>
      </c>
      <c r="C7" s="25" t="s">
        <v>183</v>
      </c>
      <c r="D7" s="25"/>
      <c r="E7" s="25"/>
    </row>
    <row r="8" customFormat="false" ht="15" hidden="false" customHeight="true" outlineLevel="0" collapsed="false">
      <c r="B8" s="24" t="s">
        <v>122</v>
      </c>
      <c r="C8" s="25" t="s">
        <v>132</v>
      </c>
      <c r="D8" s="25"/>
      <c r="E8" s="25"/>
    </row>
    <row r="9" customFormat="false" ht="15" hidden="false" customHeight="true" outlineLevel="0" collapsed="false">
      <c r="B9" s="24" t="s">
        <v>124</v>
      </c>
      <c r="C9" s="25" t="s">
        <v>202</v>
      </c>
      <c r="D9" s="25"/>
      <c r="E9" s="25"/>
    </row>
    <row r="10" customFormat="false" ht="15" hidden="false" customHeight="true" outlineLevel="0" collapsed="false">
      <c r="B10" s="24" t="s">
        <v>126</v>
      </c>
      <c r="C10" s="25" t="s">
        <v>48</v>
      </c>
      <c r="D10" s="25"/>
      <c r="E10" s="25"/>
    </row>
    <row r="11" customFormat="false" ht="15" hidden="false" customHeight="true" outlineLevel="0" collapsed="false">
      <c r="B11" s="24" t="s">
        <v>127</v>
      </c>
      <c r="C11" s="25" t="s">
        <v>194</v>
      </c>
      <c r="D11" s="25"/>
      <c r="E11" s="25"/>
    </row>
    <row r="12" customFormat="false" ht="15" hidden="false" customHeight="true" outlineLevel="0" collapsed="false">
      <c r="B12" s="24" t="s">
        <v>129</v>
      </c>
      <c r="C12" s="25" t="s">
        <v>203</v>
      </c>
      <c r="D12" s="25"/>
      <c r="E12" s="25"/>
    </row>
    <row r="13" customFormat="false" ht="15" hidden="false" customHeight="true" outlineLevel="0" collapsed="false">
      <c r="B13" s="24" t="s">
        <v>131</v>
      </c>
      <c r="C13" s="25" t="s">
        <v>214</v>
      </c>
      <c r="D13" s="25"/>
      <c r="E13" s="25"/>
    </row>
    <row r="14" customFormat="false" ht="15" hidden="false" customHeight="true" outlineLevel="0" collapsed="false">
      <c r="B14" s="24" t="s">
        <v>133</v>
      </c>
      <c r="C14" s="25" t="s">
        <v>215</v>
      </c>
      <c r="D14" s="25"/>
      <c r="E14" s="25"/>
    </row>
    <row r="16" customFormat="false" ht="21.75" hidden="false" customHeight="true" outlineLevel="0" collapsed="false">
      <c r="B16" s="23" t="s">
        <v>135</v>
      </c>
      <c r="C16" s="23"/>
      <c r="D16" s="23"/>
      <c r="E16" s="23"/>
      <c r="F16" s="23"/>
      <c r="G16" s="23"/>
      <c r="H16" s="23"/>
    </row>
    <row r="17" customFormat="false" ht="18" hidden="false" customHeight="true" outlineLevel="0" collapsed="false">
      <c r="B17" s="26" t="s">
        <v>216</v>
      </c>
      <c r="C17" s="26"/>
      <c r="D17" s="26"/>
      <c r="E17" s="26"/>
      <c r="F17" s="26"/>
      <c r="G17" s="26"/>
      <c r="H17" s="26"/>
    </row>
    <row r="18" customFormat="false" ht="18" hidden="false" customHeight="true" outlineLevel="0" collapsed="false">
      <c r="B18" s="26"/>
      <c r="C18" s="26"/>
      <c r="D18" s="26"/>
      <c r="E18" s="26"/>
      <c r="F18" s="26"/>
      <c r="G18" s="26"/>
      <c r="H18" s="26"/>
    </row>
    <row r="19" customFormat="false" ht="18" hidden="false" customHeight="true" outlineLevel="0" collapsed="false">
      <c r="B19" s="26"/>
      <c r="C19" s="26"/>
      <c r="D19" s="26"/>
      <c r="E19" s="26"/>
      <c r="F19" s="26"/>
      <c r="G19" s="26"/>
      <c r="H19" s="26"/>
    </row>
    <row r="20" customFormat="false" ht="18" hidden="false" customHeight="true" outlineLevel="0" collapsed="false">
      <c r="B20" s="26"/>
      <c r="C20" s="26"/>
      <c r="D20" s="26"/>
      <c r="E20" s="26"/>
      <c r="F20" s="26"/>
      <c r="G20" s="26"/>
      <c r="H20" s="26"/>
    </row>
    <row r="22" customFormat="false" ht="21.75" hidden="false" customHeight="true" outlineLevel="0" collapsed="false">
      <c r="B22" s="23" t="s">
        <v>137</v>
      </c>
      <c r="C22" s="23"/>
      <c r="D22" s="23"/>
      <c r="E22" s="23"/>
      <c r="F22" s="23"/>
      <c r="G22" s="23"/>
      <c r="H22" s="23"/>
    </row>
    <row r="23" customFormat="false" ht="30" hidden="false" customHeight="true" outlineLevel="0" collapsed="false">
      <c r="B23" s="27" t="s">
        <v>138</v>
      </c>
      <c r="C23" s="27" t="s">
        <v>139</v>
      </c>
      <c r="D23" s="27" t="s">
        <v>140</v>
      </c>
      <c r="E23" s="27" t="s">
        <v>141</v>
      </c>
      <c r="F23" s="27" t="s">
        <v>142</v>
      </c>
    </row>
    <row r="24" customFormat="false" ht="15" hidden="false" customHeight="true" outlineLevel="0" collapsed="false">
      <c r="B24" s="28" t="n">
        <v>1</v>
      </c>
      <c r="C24" s="28" t="n">
        <v>8</v>
      </c>
      <c r="D24" s="28" t="n">
        <v>3</v>
      </c>
      <c r="E24" s="28" t="n">
        <v>2</v>
      </c>
      <c r="F24" s="28" t="n">
        <v>0</v>
      </c>
    </row>
    <row r="25" customFormat="false" ht="15" hidden="false" customHeight="true" outlineLevel="0" collapsed="false">
      <c r="B25" s="29" t="n">
        <v>2</v>
      </c>
      <c r="C25" s="29" t="n">
        <v>8</v>
      </c>
      <c r="D25" s="29" t="n">
        <v>3</v>
      </c>
      <c r="E25" s="29" t="n">
        <v>2</v>
      </c>
      <c r="F25" s="29" t="n">
        <v>1</v>
      </c>
    </row>
    <row r="26" customFormat="false" ht="15" hidden="false" customHeight="true" outlineLevel="0" collapsed="false">
      <c r="B26" s="28" t="n">
        <v>3</v>
      </c>
      <c r="C26" s="28" t="n">
        <v>8</v>
      </c>
      <c r="D26" s="28" t="n">
        <v>3</v>
      </c>
      <c r="E26" s="28" t="n">
        <v>2</v>
      </c>
      <c r="F26" s="28" t="n">
        <v>2</v>
      </c>
    </row>
    <row r="27" customFormat="false" ht="15" hidden="false" customHeight="true" outlineLevel="0" collapsed="false">
      <c r="B27" s="29" t="n">
        <v>4</v>
      </c>
      <c r="C27" s="29" t="n">
        <v>8</v>
      </c>
      <c r="D27" s="29" t="n">
        <v>3</v>
      </c>
      <c r="E27" s="29" t="n">
        <v>2</v>
      </c>
      <c r="F27" s="29" t="n">
        <v>2</v>
      </c>
    </row>
    <row r="28" customFormat="false" ht="15" hidden="false" customHeight="true" outlineLevel="0" collapsed="false">
      <c r="B28" s="28" t="n">
        <v>5</v>
      </c>
      <c r="C28" s="28" t="n">
        <v>8</v>
      </c>
      <c r="D28" s="28" t="n">
        <v>3</v>
      </c>
      <c r="E28" s="28" t="n">
        <v>2</v>
      </c>
      <c r="F28" s="28" t="n">
        <v>3</v>
      </c>
    </row>
    <row r="29" customFormat="false" ht="15" hidden="false" customHeight="true" outlineLevel="0" collapsed="false">
      <c r="B29" s="29" t="n">
        <v>6</v>
      </c>
      <c r="C29" s="29" t="n">
        <v>8</v>
      </c>
      <c r="D29" s="29" t="n">
        <v>3</v>
      </c>
      <c r="E29" s="29" t="n">
        <v>2</v>
      </c>
      <c r="F29" s="29" t="n">
        <v>4</v>
      </c>
    </row>
    <row r="30" customFormat="false" ht="15" hidden="false" customHeight="true" outlineLevel="0" collapsed="false">
      <c r="B30" s="28" t="n">
        <v>7</v>
      </c>
      <c r="C30" s="28" t="n">
        <v>8</v>
      </c>
      <c r="D30" s="28" t="n">
        <v>3</v>
      </c>
      <c r="E30" s="28" t="n">
        <v>2</v>
      </c>
      <c r="F30" s="28" t="n">
        <v>5</v>
      </c>
    </row>
    <row r="32" customFormat="false" ht="27.75" hidden="false" customHeight="true" outlineLevel="0" collapsed="false">
      <c r="B32" s="9" t="s">
        <v>217</v>
      </c>
      <c r="C32" s="9"/>
      <c r="D32" s="9"/>
      <c r="E32" s="9"/>
      <c r="F32" s="9"/>
      <c r="G32" s="9"/>
      <c r="H32" s="9"/>
    </row>
    <row r="34" customFormat="false" ht="21.75" hidden="false" customHeight="true" outlineLevel="0" collapsed="false">
      <c r="B34" s="23" t="s">
        <v>144</v>
      </c>
      <c r="C34" s="23"/>
      <c r="D34" s="23"/>
      <c r="E34" s="23"/>
      <c r="F34" s="23"/>
      <c r="G34" s="23"/>
      <c r="H34" s="23"/>
    </row>
    <row r="35" customFormat="false" ht="19.5" hidden="false" customHeight="true" outlineLevel="0" collapsed="false">
      <c r="B35" s="30" t="s">
        <v>196</v>
      </c>
      <c r="C35" s="30"/>
      <c r="D35" s="30"/>
      <c r="E35" s="30"/>
      <c r="F35" s="30"/>
      <c r="G35" s="30"/>
      <c r="H35" s="30"/>
    </row>
    <row r="36" customFormat="false" ht="19.5" hidden="false" customHeight="true" outlineLevel="0" collapsed="false">
      <c r="B36" s="30"/>
      <c r="C36" s="30"/>
      <c r="D36" s="30"/>
      <c r="E36" s="30"/>
      <c r="F36" s="30"/>
      <c r="G36" s="30"/>
      <c r="H36" s="30"/>
    </row>
    <row r="37" customFormat="false" ht="19.5" hidden="false" customHeight="true" outlineLevel="0" collapsed="false">
      <c r="B37" s="30"/>
      <c r="C37" s="30"/>
      <c r="D37" s="30"/>
      <c r="E37" s="30"/>
      <c r="F37" s="30"/>
      <c r="G37" s="30"/>
      <c r="H37" s="30"/>
    </row>
    <row r="38" customFormat="false" ht="19.5" hidden="false" customHeight="true" outlineLevel="0" collapsed="false">
      <c r="B38" s="30"/>
      <c r="C38" s="30"/>
      <c r="D38" s="30"/>
      <c r="E38" s="30"/>
      <c r="F38" s="30"/>
      <c r="G38" s="30"/>
      <c r="H38" s="30"/>
    </row>
    <row r="39" customFormat="false" ht="19.5" hidden="false" customHeight="true" outlineLevel="0" collapsed="false">
      <c r="B39" s="30"/>
      <c r="C39" s="30"/>
      <c r="D39" s="30"/>
      <c r="E39" s="30"/>
      <c r="F39" s="30"/>
      <c r="G39" s="30"/>
      <c r="H39" s="30"/>
    </row>
    <row r="41" customFormat="false" ht="21.75" hidden="false" customHeight="true" outlineLevel="0" collapsed="false">
      <c r="B41" s="23" t="s">
        <v>146</v>
      </c>
      <c r="C41" s="23"/>
      <c r="D41" s="23"/>
      <c r="E41" s="23"/>
      <c r="F41" s="23"/>
      <c r="G41" s="23"/>
      <c r="H41" s="23"/>
    </row>
    <row r="42" customFormat="false" ht="36" hidden="false" customHeight="true" outlineLevel="0" collapsed="false">
      <c r="B42" s="31" t="s">
        <v>147</v>
      </c>
      <c r="C42" s="32" t="s">
        <v>218</v>
      </c>
      <c r="D42" s="32"/>
      <c r="E42" s="32"/>
      <c r="F42" s="32"/>
      <c r="G42" s="32"/>
      <c r="H42" s="32"/>
    </row>
    <row r="43" customFormat="false" ht="36" hidden="false" customHeight="true" outlineLevel="0" collapsed="false">
      <c r="B43" s="31" t="s">
        <v>149</v>
      </c>
      <c r="C43" s="32" t="s">
        <v>198</v>
      </c>
      <c r="D43" s="32"/>
      <c r="E43" s="32"/>
      <c r="F43" s="32"/>
      <c r="G43" s="32"/>
      <c r="H43" s="32"/>
    </row>
    <row r="44" customFormat="false" ht="36" hidden="false" customHeight="true" outlineLevel="0" collapsed="false">
      <c r="B44" s="31" t="s">
        <v>151</v>
      </c>
      <c r="C44" s="32" t="s">
        <v>189</v>
      </c>
      <c r="D44" s="32"/>
      <c r="E44" s="32"/>
      <c r="F44" s="32"/>
      <c r="G44" s="32"/>
      <c r="H44" s="32"/>
    </row>
    <row r="45" customFormat="false" ht="36" hidden="false" customHeight="true" outlineLevel="0" collapsed="false">
      <c r="B45" s="31" t="s">
        <v>153</v>
      </c>
      <c r="C45" s="32" t="s">
        <v>190</v>
      </c>
      <c r="D45" s="32"/>
      <c r="E45" s="32"/>
      <c r="F45" s="32"/>
      <c r="G45" s="32"/>
      <c r="H45" s="32"/>
    </row>
    <row r="46" customFormat="false" ht="36" hidden="false" customHeight="true" outlineLevel="0" collapsed="false">
      <c r="B46" s="31" t="s">
        <v>155</v>
      </c>
      <c r="C46" s="32" t="s">
        <v>156</v>
      </c>
      <c r="D46" s="32"/>
      <c r="E46" s="32"/>
      <c r="F46" s="32"/>
      <c r="G46" s="32"/>
      <c r="H46" s="32"/>
    </row>
    <row r="47" customFormat="false" ht="36" hidden="false" customHeight="true" outlineLevel="0" collapsed="false">
      <c r="B47" s="31" t="s">
        <v>157</v>
      </c>
      <c r="C47" s="32" t="s">
        <v>199</v>
      </c>
      <c r="D47" s="32"/>
      <c r="E47" s="32"/>
      <c r="F47" s="32"/>
      <c r="G47" s="32"/>
      <c r="H47" s="32"/>
    </row>
    <row r="48" customFormat="false" ht="36" hidden="false" customHeight="true" outlineLevel="0" collapsed="false">
      <c r="B48" s="31" t="s">
        <v>159</v>
      </c>
      <c r="C48" s="32" t="s">
        <v>160</v>
      </c>
      <c r="D48" s="32"/>
      <c r="E48" s="32"/>
      <c r="F48" s="32"/>
      <c r="G48" s="32"/>
      <c r="H48" s="32"/>
    </row>
  </sheetData>
  <mergeCells count="26">
    <mergeCell ref="B2:H2"/>
    <mergeCell ref="B3:H3"/>
    <mergeCell ref="B5:H5"/>
    <mergeCell ref="C6:E6"/>
    <mergeCell ref="C7:E7"/>
    <mergeCell ref="C8:E8"/>
    <mergeCell ref="C9:E9"/>
    <mergeCell ref="C10:E10"/>
    <mergeCell ref="C11:E11"/>
    <mergeCell ref="C12:E12"/>
    <mergeCell ref="C13:E13"/>
    <mergeCell ref="C14:E14"/>
    <mergeCell ref="B16:H16"/>
    <mergeCell ref="B17:H20"/>
    <mergeCell ref="B22:H22"/>
    <mergeCell ref="B32:H32"/>
    <mergeCell ref="B34:H34"/>
    <mergeCell ref="B35:H39"/>
    <mergeCell ref="B41:H41"/>
    <mergeCell ref="C42:H42"/>
    <mergeCell ref="C43:H43"/>
    <mergeCell ref="C44:H44"/>
    <mergeCell ref="C45:H45"/>
    <mergeCell ref="C46:H46"/>
    <mergeCell ref="C47:H47"/>
    <mergeCell ref="C48:H4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H4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22"/>
    <col collapsed="false" customWidth="true" hidden="false" outlineLevel="0" max="8" min="3" style="1" width="14"/>
  </cols>
  <sheetData>
    <row r="2" customFormat="false" ht="24" hidden="false" customHeight="true" outlineLevel="0" collapsed="false">
      <c r="B2" s="21" t="s">
        <v>219</v>
      </c>
      <c r="C2" s="21"/>
      <c r="D2" s="21"/>
      <c r="E2" s="21"/>
      <c r="F2" s="21"/>
      <c r="G2" s="21"/>
      <c r="H2" s="21"/>
    </row>
    <row r="3" customFormat="false" ht="15" hidden="false" customHeight="true" outlineLevel="0" collapsed="false">
      <c r="B3" s="22" t="s">
        <v>220</v>
      </c>
      <c r="C3" s="22"/>
      <c r="D3" s="22"/>
      <c r="E3" s="22"/>
      <c r="F3" s="22"/>
      <c r="G3" s="22"/>
      <c r="H3" s="22"/>
    </row>
    <row r="5" customFormat="false" ht="21.75" hidden="false" customHeight="true" outlineLevel="0" collapsed="false">
      <c r="B5" s="23" t="s">
        <v>117</v>
      </c>
      <c r="C5" s="23"/>
      <c r="D5" s="23"/>
      <c r="E5" s="23"/>
      <c r="F5" s="23"/>
      <c r="G5" s="23"/>
      <c r="H5" s="23"/>
    </row>
    <row r="6" customFormat="false" ht="15" hidden="false" customHeight="true" outlineLevel="0" collapsed="false">
      <c r="B6" s="24" t="s">
        <v>118</v>
      </c>
      <c r="C6" s="25" t="s">
        <v>221</v>
      </c>
      <c r="D6" s="25"/>
      <c r="E6" s="25"/>
    </row>
    <row r="7" customFormat="false" ht="15" hidden="false" customHeight="true" outlineLevel="0" collapsed="false">
      <c r="B7" s="24" t="s">
        <v>120</v>
      </c>
      <c r="C7" s="25" t="s">
        <v>121</v>
      </c>
      <c r="D7" s="25"/>
      <c r="E7" s="25"/>
    </row>
    <row r="8" customFormat="false" ht="15" hidden="false" customHeight="true" outlineLevel="0" collapsed="false">
      <c r="B8" s="24" t="s">
        <v>122</v>
      </c>
      <c r="C8" s="25" t="s">
        <v>123</v>
      </c>
      <c r="D8" s="25"/>
      <c r="E8" s="25"/>
    </row>
    <row r="9" customFormat="false" ht="15" hidden="false" customHeight="true" outlineLevel="0" collapsed="false">
      <c r="B9" s="24" t="s">
        <v>124</v>
      </c>
      <c r="C9" s="25" t="s">
        <v>125</v>
      </c>
      <c r="D9" s="25"/>
      <c r="E9" s="25"/>
    </row>
    <row r="10" customFormat="false" ht="15" hidden="false" customHeight="true" outlineLevel="0" collapsed="false">
      <c r="B10" s="24" t="s">
        <v>126</v>
      </c>
      <c r="C10" s="25" t="s">
        <v>52</v>
      </c>
      <c r="D10" s="25"/>
      <c r="E10" s="25"/>
    </row>
    <row r="11" customFormat="false" ht="15" hidden="false" customHeight="true" outlineLevel="0" collapsed="false">
      <c r="B11" s="24" t="s">
        <v>127</v>
      </c>
      <c r="C11" s="25" t="s">
        <v>194</v>
      </c>
      <c r="D11" s="25"/>
      <c r="E11" s="25"/>
    </row>
    <row r="12" customFormat="false" ht="15" hidden="false" customHeight="true" outlineLevel="0" collapsed="false">
      <c r="B12" s="24" t="s">
        <v>129</v>
      </c>
      <c r="C12" s="25" t="s">
        <v>130</v>
      </c>
      <c r="D12" s="25"/>
      <c r="E12" s="25"/>
    </row>
    <row r="13" customFormat="false" ht="15" hidden="false" customHeight="true" outlineLevel="0" collapsed="false">
      <c r="B13" s="24" t="s">
        <v>131</v>
      </c>
      <c r="C13" s="25" t="s">
        <v>184</v>
      </c>
      <c r="D13" s="25"/>
      <c r="E13" s="25"/>
    </row>
    <row r="14" customFormat="false" ht="15" hidden="false" customHeight="true" outlineLevel="0" collapsed="false">
      <c r="B14" s="24" t="s">
        <v>133</v>
      </c>
      <c r="C14" s="25" t="s">
        <v>185</v>
      </c>
      <c r="D14" s="25"/>
      <c r="E14" s="25"/>
    </row>
    <row r="16" customFormat="false" ht="21.75" hidden="false" customHeight="true" outlineLevel="0" collapsed="false">
      <c r="B16" s="23" t="s">
        <v>135</v>
      </c>
      <c r="C16" s="23"/>
      <c r="D16" s="23"/>
      <c r="E16" s="23"/>
      <c r="F16" s="23"/>
      <c r="G16" s="23"/>
      <c r="H16" s="23"/>
    </row>
    <row r="17" customFormat="false" ht="18" hidden="false" customHeight="true" outlineLevel="0" collapsed="false">
      <c r="B17" s="26" t="s">
        <v>222</v>
      </c>
      <c r="C17" s="26"/>
      <c r="D17" s="26"/>
      <c r="E17" s="26"/>
      <c r="F17" s="26"/>
      <c r="G17" s="26"/>
      <c r="H17" s="26"/>
    </row>
    <row r="18" customFormat="false" ht="18" hidden="false" customHeight="true" outlineLevel="0" collapsed="false">
      <c r="B18" s="26"/>
      <c r="C18" s="26"/>
      <c r="D18" s="26"/>
      <c r="E18" s="26"/>
      <c r="F18" s="26"/>
      <c r="G18" s="26"/>
      <c r="H18" s="26"/>
    </row>
    <row r="19" customFormat="false" ht="18" hidden="false" customHeight="true" outlineLevel="0" collapsed="false">
      <c r="B19" s="26"/>
      <c r="C19" s="26"/>
      <c r="D19" s="26"/>
      <c r="E19" s="26"/>
      <c r="F19" s="26"/>
      <c r="G19" s="26"/>
      <c r="H19" s="26"/>
    </row>
    <row r="20" customFormat="false" ht="18" hidden="false" customHeight="true" outlineLevel="0" collapsed="false">
      <c r="B20" s="26"/>
      <c r="C20" s="26"/>
      <c r="D20" s="26"/>
      <c r="E20" s="26"/>
      <c r="F20" s="26"/>
      <c r="G20" s="26"/>
      <c r="H20" s="26"/>
    </row>
    <row r="22" customFormat="false" ht="21.75" hidden="false" customHeight="true" outlineLevel="0" collapsed="false">
      <c r="B22" s="23" t="s">
        <v>137</v>
      </c>
      <c r="C22" s="23"/>
      <c r="D22" s="23"/>
      <c r="E22" s="23"/>
      <c r="F22" s="23"/>
      <c r="G22" s="23"/>
      <c r="H22" s="23"/>
    </row>
    <row r="23" customFormat="false" ht="30" hidden="false" customHeight="true" outlineLevel="0" collapsed="false">
      <c r="B23" s="27" t="s">
        <v>138</v>
      </c>
      <c r="C23" s="27" t="s">
        <v>139</v>
      </c>
      <c r="D23" s="27" t="s">
        <v>140</v>
      </c>
      <c r="E23" s="27" t="s">
        <v>141</v>
      </c>
      <c r="F23" s="27" t="s">
        <v>142</v>
      </c>
    </row>
    <row r="24" customFormat="false" ht="15" hidden="false" customHeight="true" outlineLevel="0" collapsed="false">
      <c r="B24" s="28" t="n">
        <v>1</v>
      </c>
      <c r="C24" s="28" t="n">
        <v>12</v>
      </c>
      <c r="D24" s="28" t="n">
        <v>0</v>
      </c>
      <c r="E24" s="28" t="n">
        <v>3</v>
      </c>
      <c r="F24" s="28" t="n">
        <v>1</v>
      </c>
    </row>
    <row r="25" customFormat="false" ht="15" hidden="false" customHeight="true" outlineLevel="0" collapsed="false">
      <c r="B25" s="29" t="n">
        <v>2</v>
      </c>
      <c r="C25" s="29" t="n">
        <v>12</v>
      </c>
      <c r="D25" s="29" t="n">
        <v>0</v>
      </c>
      <c r="E25" s="29" t="n">
        <v>3</v>
      </c>
      <c r="F25" s="29" t="n">
        <v>2</v>
      </c>
    </row>
    <row r="26" customFormat="false" ht="15" hidden="false" customHeight="true" outlineLevel="0" collapsed="false">
      <c r="B26" s="28" t="n">
        <v>3</v>
      </c>
      <c r="C26" s="28" t="n">
        <v>12</v>
      </c>
      <c r="D26" s="28" t="n">
        <v>0</v>
      </c>
      <c r="E26" s="28" t="n">
        <v>3</v>
      </c>
      <c r="F26" s="28" t="n">
        <v>3</v>
      </c>
    </row>
    <row r="27" customFormat="false" ht="15" hidden="false" customHeight="true" outlineLevel="0" collapsed="false">
      <c r="B27" s="29" t="n">
        <v>4</v>
      </c>
      <c r="C27" s="29" t="n">
        <v>12</v>
      </c>
      <c r="D27" s="29" t="n">
        <v>0</v>
      </c>
      <c r="E27" s="29" t="n">
        <v>3</v>
      </c>
      <c r="F27" s="29" t="n">
        <v>4</v>
      </c>
    </row>
    <row r="28" customFormat="false" ht="15" hidden="false" customHeight="true" outlineLevel="0" collapsed="false">
      <c r="B28" s="28" t="n">
        <v>5</v>
      </c>
      <c r="C28" s="28" t="n">
        <v>12</v>
      </c>
      <c r="D28" s="28" t="n">
        <v>0</v>
      </c>
      <c r="E28" s="28" t="n">
        <v>3</v>
      </c>
      <c r="F28" s="28" t="n">
        <v>5</v>
      </c>
    </row>
    <row r="29" customFormat="false" ht="15" hidden="false" customHeight="true" outlineLevel="0" collapsed="false">
      <c r="B29" s="29" t="n">
        <v>6</v>
      </c>
      <c r="C29" s="29" t="n">
        <v>12</v>
      </c>
      <c r="D29" s="29" t="n">
        <v>0</v>
      </c>
      <c r="E29" s="29" t="n">
        <v>3</v>
      </c>
      <c r="F29" s="29" t="n">
        <v>6</v>
      </c>
    </row>
    <row r="31" customFormat="false" ht="27.75" hidden="false" customHeight="true" outlineLevel="0" collapsed="false">
      <c r="B31" s="9" t="s">
        <v>143</v>
      </c>
      <c r="C31" s="9"/>
      <c r="D31" s="9"/>
      <c r="E31" s="9"/>
      <c r="F31" s="9"/>
      <c r="G31" s="9"/>
      <c r="H31" s="9"/>
    </row>
    <row r="33" customFormat="false" ht="21.75" hidden="false" customHeight="true" outlineLevel="0" collapsed="false">
      <c r="B33" s="23" t="s">
        <v>144</v>
      </c>
      <c r="C33" s="23"/>
      <c r="D33" s="23"/>
      <c r="E33" s="23"/>
      <c r="F33" s="23"/>
      <c r="G33" s="23"/>
      <c r="H33" s="23"/>
    </row>
    <row r="34" customFormat="false" ht="19.5" hidden="false" customHeight="true" outlineLevel="0" collapsed="false">
      <c r="B34" s="30" t="s">
        <v>223</v>
      </c>
      <c r="C34" s="30"/>
      <c r="D34" s="30"/>
      <c r="E34" s="30"/>
      <c r="F34" s="30"/>
      <c r="G34" s="30"/>
      <c r="H34" s="30"/>
    </row>
    <row r="35" customFormat="false" ht="19.5" hidden="false" customHeight="true" outlineLevel="0" collapsed="false">
      <c r="B35" s="30"/>
      <c r="C35" s="30"/>
      <c r="D35" s="30"/>
      <c r="E35" s="30"/>
      <c r="F35" s="30"/>
      <c r="G35" s="30"/>
      <c r="H35" s="30"/>
    </row>
    <row r="36" customFormat="false" ht="19.5" hidden="false" customHeight="true" outlineLevel="0" collapsed="false">
      <c r="B36" s="30"/>
      <c r="C36" s="30"/>
      <c r="D36" s="30"/>
      <c r="E36" s="30"/>
      <c r="F36" s="30"/>
      <c r="G36" s="30"/>
      <c r="H36" s="30"/>
    </row>
    <row r="37" customFormat="false" ht="19.5" hidden="false" customHeight="true" outlineLevel="0" collapsed="false">
      <c r="B37" s="30"/>
      <c r="C37" s="30"/>
      <c r="D37" s="30"/>
      <c r="E37" s="30"/>
      <c r="F37" s="30"/>
      <c r="G37" s="30"/>
      <c r="H37" s="30"/>
    </row>
    <row r="38" customFormat="false" ht="19.5" hidden="false" customHeight="true" outlineLevel="0" collapsed="false">
      <c r="B38" s="30"/>
      <c r="C38" s="30"/>
      <c r="D38" s="30"/>
      <c r="E38" s="30"/>
      <c r="F38" s="30"/>
      <c r="G38" s="30"/>
      <c r="H38" s="30"/>
    </row>
    <row r="40" customFormat="false" ht="21.75" hidden="false" customHeight="true" outlineLevel="0" collapsed="false">
      <c r="B40" s="23" t="s">
        <v>146</v>
      </c>
      <c r="C40" s="23"/>
      <c r="D40" s="23"/>
      <c r="E40" s="23"/>
      <c r="F40" s="23"/>
      <c r="G40" s="23"/>
      <c r="H40" s="23"/>
    </row>
    <row r="41" customFormat="false" ht="36" hidden="false" customHeight="true" outlineLevel="0" collapsed="false">
      <c r="B41" s="31" t="s">
        <v>147</v>
      </c>
      <c r="C41" s="32" t="s">
        <v>224</v>
      </c>
      <c r="D41" s="32"/>
      <c r="E41" s="32"/>
      <c r="F41" s="32"/>
      <c r="G41" s="32"/>
      <c r="H41" s="32"/>
    </row>
    <row r="42" customFormat="false" ht="36" hidden="false" customHeight="true" outlineLevel="0" collapsed="false">
      <c r="B42" s="31" t="s">
        <v>149</v>
      </c>
      <c r="C42" s="32" t="s">
        <v>225</v>
      </c>
      <c r="D42" s="32"/>
      <c r="E42" s="32"/>
      <c r="F42" s="32"/>
      <c r="G42" s="32"/>
      <c r="H42" s="32"/>
    </row>
    <row r="43" customFormat="false" ht="36" hidden="false" customHeight="true" outlineLevel="0" collapsed="false">
      <c r="B43" s="31" t="s">
        <v>151</v>
      </c>
      <c r="C43" s="32" t="s">
        <v>226</v>
      </c>
      <c r="D43" s="32"/>
      <c r="E43" s="32"/>
      <c r="F43" s="32"/>
      <c r="G43" s="32"/>
      <c r="H43" s="32"/>
    </row>
    <row r="44" customFormat="false" ht="36" hidden="false" customHeight="true" outlineLevel="0" collapsed="false">
      <c r="B44" s="31" t="s">
        <v>153</v>
      </c>
      <c r="C44" s="32" t="s">
        <v>154</v>
      </c>
      <c r="D44" s="32"/>
      <c r="E44" s="32"/>
      <c r="F44" s="32"/>
      <c r="G44" s="32"/>
      <c r="H44" s="32"/>
    </row>
    <row r="45" customFormat="false" ht="36" hidden="false" customHeight="true" outlineLevel="0" collapsed="false">
      <c r="B45" s="31" t="s">
        <v>155</v>
      </c>
      <c r="C45" s="32" t="s">
        <v>156</v>
      </c>
      <c r="D45" s="32"/>
      <c r="E45" s="32"/>
      <c r="F45" s="32"/>
      <c r="G45" s="32"/>
      <c r="H45" s="32"/>
    </row>
    <row r="46" customFormat="false" ht="36" hidden="false" customHeight="true" outlineLevel="0" collapsed="false">
      <c r="B46" s="31" t="s">
        <v>157</v>
      </c>
      <c r="C46" s="32" t="s">
        <v>199</v>
      </c>
      <c r="D46" s="32"/>
      <c r="E46" s="32"/>
      <c r="F46" s="32"/>
      <c r="G46" s="32"/>
      <c r="H46" s="32"/>
    </row>
    <row r="47" customFormat="false" ht="36" hidden="false" customHeight="true" outlineLevel="0" collapsed="false">
      <c r="B47" s="31" t="s">
        <v>159</v>
      </c>
      <c r="C47" s="32" t="s">
        <v>160</v>
      </c>
      <c r="D47" s="32"/>
      <c r="E47" s="32"/>
      <c r="F47" s="32"/>
      <c r="G47" s="32"/>
      <c r="H47" s="32"/>
    </row>
  </sheetData>
  <mergeCells count="26">
    <mergeCell ref="B2:H2"/>
    <mergeCell ref="B3:H3"/>
    <mergeCell ref="B5:H5"/>
    <mergeCell ref="C6:E6"/>
    <mergeCell ref="C7:E7"/>
    <mergeCell ref="C8:E8"/>
    <mergeCell ref="C9:E9"/>
    <mergeCell ref="C10:E10"/>
    <mergeCell ref="C11:E11"/>
    <mergeCell ref="C12:E12"/>
    <mergeCell ref="C13:E13"/>
    <mergeCell ref="C14:E14"/>
    <mergeCell ref="B16:H16"/>
    <mergeCell ref="B17:H20"/>
    <mergeCell ref="B22:H22"/>
    <mergeCell ref="B31:H31"/>
    <mergeCell ref="B33:H33"/>
    <mergeCell ref="B34:H38"/>
    <mergeCell ref="B40:H40"/>
    <mergeCell ref="C41:H41"/>
    <mergeCell ref="C42:H42"/>
    <mergeCell ref="C43:H43"/>
    <mergeCell ref="C44:H44"/>
    <mergeCell ref="C45:H45"/>
    <mergeCell ref="C46:H46"/>
    <mergeCell ref="C47:H4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H4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22"/>
    <col collapsed="false" customWidth="true" hidden="false" outlineLevel="0" max="8" min="3" style="1" width="14"/>
  </cols>
  <sheetData>
    <row r="2" customFormat="false" ht="24" hidden="false" customHeight="true" outlineLevel="0" collapsed="false">
      <c r="B2" s="21" t="s">
        <v>227</v>
      </c>
      <c r="C2" s="21"/>
      <c r="D2" s="21"/>
      <c r="E2" s="21"/>
      <c r="F2" s="21"/>
      <c r="G2" s="21"/>
      <c r="H2" s="21"/>
    </row>
    <row r="3" customFormat="false" ht="15" hidden="false" customHeight="true" outlineLevel="0" collapsed="false">
      <c r="B3" s="22" t="s">
        <v>228</v>
      </c>
      <c r="C3" s="22"/>
      <c r="D3" s="22"/>
      <c r="E3" s="22"/>
      <c r="F3" s="22"/>
      <c r="G3" s="22"/>
      <c r="H3" s="22"/>
    </row>
    <row r="5" customFormat="false" ht="21.75" hidden="false" customHeight="true" outlineLevel="0" collapsed="false">
      <c r="B5" s="23" t="s">
        <v>117</v>
      </c>
      <c r="C5" s="23"/>
      <c r="D5" s="23"/>
      <c r="E5" s="23"/>
      <c r="F5" s="23"/>
      <c r="G5" s="23"/>
      <c r="H5" s="23"/>
    </row>
    <row r="6" customFormat="false" ht="15" hidden="false" customHeight="true" outlineLevel="0" collapsed="false">
      <c r="B6" s="24" t="s">
        <v>118</v>
      </c>
      <c r="C6" s="25" t="s">
        <v>221</v>
      </c>
      <c r="D6" s="25"/>
      <c r="E6" s="25"/>
    </row>
    <row r="7" customFormat="false" ht="15" hidden="false" customHeight="true" outlineLevel="0" collapsed="false">
      <c r="B7" s="24" t="s">
        <v>120</v>
      </c>
      <c r="C7" s="25" t="s">
        <v>163</v>
      </c>
      <c r="D7" s="25"/>
      <c r="E7" s="25"/>
    </row>
    <row r="8" customFormat="false" ht="15" hidden="false" customHeight="true" outlineLevel="0" collapsed="false">
      <c r="B8" s="24" t="s">
        <v>122</v>
      </c>
      <c r="C8" s="25" t="s">
        <v>123</v>
      </c>
      <c r="D8" s="25"/>
      <c r="E8" s="25"/>
    </row>
    <row r="9" customFormat="false" ht="15" hidden="false" customHeight="true" outlineLevel="0" collapsed="false">
      <c r="B9" s="24" t="s">
        <v>124</v>
      </c>
      <c r="C9" s="25" t="s">
        <v>202</v>
      </c>
      <c r="D9" s="25"/>
      <c r="E9" s="25"/>
    </row>
    <row r="10" customFormat="false" ht="15" hidden="false" customHeight="true" outlineLevel="0" collapsed="false">
      <c r="B10" s="24" t="s">
        <v>126</v>
      </c>
      <c r="C10" s="25" t="s">
        <v>52</v>
      </c>
      <c r="D10" s="25"/>
      <c r="E10" s="25"/>
    </row>
    <row r="11" customFormat="false" ht="15" hidden="false" customHeight="true" outlineLevel="0" collapsed="false">
      <c r="B11" s="24" t="s">
        <v>127</v>
      </c>
      <c r="C11" s="25" t="s">
        <v>194</v>
      </c>
      <c r="D11" s="25"/>
      <c r="E11" s="25"/>
    </row>
    <row r="12" customFormat="false" ht="15" hidden="false" customHeight="true" outlineLevel="0" collapsed="false">
      <c r="B12" s="24" t="s">
        <v>129</v>
      </c>
      <c r="C12" s="25" t="s">
        <v>203</v>
      </c>
      <c r="D12" s="25"/>
      <c r="E12" s="25"/>
    </row>
    <row r="13" customFormat="false" ht="15" hidden="false" customHeight="true" outlineLevel="0" collapsed="false">
      <c r="B13" s="24" t="s">
        <v>131</v>
      </c>
      <c r="C13" s="25" t="s">
        <v>184</v>
      </c>
      <c r="D13" s="25"/>
      <c r="E13" s="25"/>
    </row>
    <row r="14" customFormat="false" ht="15" hidden="false" customHeight="true" outlineLevel="0" collapsed="false">
      <c r="B14" s="24" t="s">
        <v>133</v>
      </c>
      <c r="C14" s="25" t="s">
        <v>185</v>
      </c>
      <c r="D14" s="25"/>
      <c r="E14" s="25"/>
    </row>
    <row r="16" customFormat="false" ht="21.75" hidden="false" customHeight="true" outlineLevel="0" collapsed="false">
      <c r="B16" s="23" t="s">
        <v>135</v>
      </c>
      <c r="C16" s="23"/>
      <c r="D16" s="23"/>
      <c r="E16" s="23"/>
      <c r="F16" s="23"/>
      <c r="G16" s="23"/>
      <c r="H16" s="23"/>
    </row>
    <row r="17" customFormat="false" ht="18" hidden="false" customHeight="true" outlineLevel="0" collapsed="false">
      <c r="B17" s="26" t="s">
        <v>229</v>
      </c>
      <c r="C17" s="26"/>
      <c r="D17" s="26"/>
      <c r="E17" s="26"/>
      <c r="F17" s="26"/>
      <c r="G17" s="26"/>
      <c r="H17" s="26"/>
    </row>
    <row r="18" customFormat="false" ht="18" hidden="false" customHeight="true" outlineLevel="0" collapsed="false">
      <c r="B18" s="26"/>
      <c r="C18" s="26"/>
      <c r="D18" s="26"/>
      <c r="E18" s="26"/>
      <c r="F18" s="26"/>
      <c r="G18" s="26"/>
      <c r="H18" s="26"/>
    </row>
    <row r="19" customFormat="false" ht="18" hidden="false" customHeight="true" outlineLevel="0" collapsed="false">
      <c r="B19" s="26"/>
      <c r="C19" s="26"/>
      <c r="D19" s="26"/>
      <c r="E19" s="26"/>
      <c r="F19" s="26"/>
      <c r="G19" s="26"/>
      <c r="H19" s="26"/>
    </row>
    <row r="20" customFormat="false" ht="18" hidden="false" customHeight="true" outlineLevel="0" collapsed="false">
      <c r="B20" s="26"/>
      <c r="C20" s="26"/>
      <c r="D20" s="26"/>
      <c r="E20" s="26"/>
      <c r="F20" s="26"/>
      <c r="G20" s="26"/>
      <c r="H20" s="26"/>
    </row>
    <row r="22" customFormat="false" ht="21.75" hidden="false" customHeight="true" outlineLevel="0" collapsed="false">
      <c r="B22" s="23" t="s">
        <v>137</v>
      </c>
      <c r="C22" s="23"/>
      <c r="D22" s="23"/>
      <c r="E22" s="23"/>
      <c r="F22" s="23"/>
      <c r="G22" s="23"/>
      <c r="H22" s="23"/>
    </row>
    <row r="23" customFormat="false" ht="30" hidden="false" customHeight="true" outlineLevel="0" collapsed="false">
      <c r="B23" s="27" t="s">
        <v>138</v>
      </c>
      <c r="C23" s="27" t="s">
        <v>139</v>
      </c>
      <c r="D23" s="27" t="s">
        <v>140</v>
      </c>
      <c r="E23" s="27" t="s">
        <v>141</v>
      </c>
      <c r="F23" s="27" t="s">
        <v>142</v>
      </c>
    </row>
    <row r="24" customFormat="false" ht="15" hidden="false" customHeight="true" outlineLevel="0" collapsed="false">
      <c r="B24" s="28" t="n">
        <v>1</v>
      </c>
      <c r="C24" s="28" t="n">
        <v>12</v>
      </c>
      <c r="D24" s="28" t="n">
        <v>1</v>
      </c>
      <c r="E24" s="28" t="n">
        <v>3</v>
      </c>
      <c r="F24" s="28" t="n">
        <v>0</v>
      </c>
    </row>
    <row r="25" customFormat="false" ht="15" hidden="false" customHeight="true" outlineLevel="0" collapsed="false">
      <c r="B25" s="29" t="n">
        <v>2</v>
      </c>
      <c r="C25" s="29" t="n">
        <v>12</v>
      </c>
      <c r="D25" s="29" t="n">
        <v>1</v>
      </c>
      <c r="E25" s="29" t="n">
        <v>3</v>
      </c>
      <c r="F25" s="29" t="n">
        <v>1</v>
      </c>
    </row>
    <row r="26" customFormat="false" ht="15" hidden="false" customHeight="true" outlineLevel="0" collapsed="false">
      <c r="B26" s="28" t="n">
        <v>3</v>
      </c>
      <c r="C26" s="28" t="n">
        <v>12</v>
      </c>
      <c r="D26" s="28" t="n">
        <v>1</v>
      </c>
      <c r="E26" s="28" t="n">
        <v>3</v>
      </c>
      <c r="F26" s="28" t="n">
        <v>2</v>
      </c>
    </row>
    <row r="27" customFormat="false" ht="15" hidden="false" customHeight="true" outlineLevel="0" collapsed="false">
      <c r="B27" s="29" t="n">
        <v>4</v>
      </c>
      <c r="C27" s="29" t="n">
        <v>12</v>
      </c>
      <c r="D27" s="29" t="n">
        <v>1</v>
      </c>
      <c r="E27" s="29" t="n">
        <v>3</v>
      </c>
      <c r="F27" s="29" t="n">
        <v>3</v>
      </c>
    </row>
    <row r="28" customFormat="false" ht="15" hidden="false" customHeight="true" outlineLevel="0" collapsed="false">
      <c r="B28" s="28" t="n">
        <v>5</v>
      </c>
      <c r="C28" s="28" t="n">
        <v>12</v>
      </c>
      <c r="D28" s="28" t="n">
        <v>1</v>
      </c>
      <c r="E28" s="28" t="n">
        <v>3</v>
      </c>
      <c r="F28" s="28" t="n">
        <v>4</v>
      </c>
    </row>
    <row r="29" customFormat="false" ht="15" hidden="false" customHeight="true" outlineLevel="0" collapsed="false">
      <c r="B29" s="29" t="n">
        <v>6</v>
      </c>
      <c r="C29" s="29" t="n">
        <v>12</v>
      </c>
      <c r="D29" s="29" t="n">
        <v>1</v>
      </c>
      <c r="E29" s="29" t="n">
        <v>3</v>
      </c>
      <c r="F29" s="29" t="n">
        <v>5</v>
      </c>
    </row>
    <row r="31" customFormat="false" ht="27.75" hidden="false" customHeight="true" outlineLevel="0" collapsed="false">
      <c r="B31" s="9" t="s">
        <v>205</v>
      </c>
      <c r="C31" s="9"/>
      <c r="D31" s="9"/>
      <c r="E31" s="9"/>
      <c r="F31" s="9"/>
      <c r="G31" s="9"/>
      <c r="H31" s="9"/>
    </row>
    <row r="33" customFormat="false" ht="21.75" hidden="false" customHeight="true" outlineLevel="0" collapsed="false">
      <c r="B33" s="23" t="s">
        <v>144</v>
      </c>
      <c r="C33" s="23"/>
      <c r="D33" s="23"/>
      <c r="E33" s="23"/>
      <c r="F33" s="23"/>
      <c r="G33" s="23"/>
      <c r="H33" s="23"/>
    </row>
    <row r="34" customFormat="false" ht="19.5" hidden="false" customHeight="true" outlineLevel="0" collapsed="false">
      <c r="B34" s="30" t="s">
        <v>223</v>
      </c>
      <c r="C34" s="30"/>
      <c r="D34" s="30"/>
      <c r="E34" s="30"/>
      <c r="F34" s="30"/>
      <c r="G34" s="30"/>
      <c r="H34" s="30"/>
    </row>
    <row r="35" customFormat="false" ht="19.5" hidden="false" customHeight="true" outlineLevel="0" collapsed="false">
      <c r="B35" s="30"/>
      <c r="C35" s="30"/>
      <c r="D35" s="30"/>
      <c r="E35" s="30"/>
      <c r="F35" s="30"/>
      <c r="G35" s="30"/>
      <c r="H35" s="30"/>
    </row>
    <row r="36" customFormat="false" ht="19.5" hidden="false" customHeight="true" outlineLevel="0" collapsed="false">
      <c r="B36" s="30"/>
      <c r="C36" s="30"/>
      <c r="D36" s="30"/>
      <c r="E36" s="30"/>
      <c r="F36" s="30"/>
      <c r="G36" s="30"/>
      <c r="H36" s="30"/>
    </row>
    <row r="37" customFormat="false" ht="19.5" hidden="false" customHeight="true" outlineLevel="0" collapsed="false">
      <c r="B37" s="30"/>
      <c r="C37" s="30"/>
      <c r="D37" s="30"/>
      <c r="E37" s="30"/>
      <c r="F37" s="30"/>
      <c r="G37" s="30"/>
      <c r="H37" s="30"/>
    </row>
    <row r="38" customFormat="false" ht="19.5" hidden="false" customHeight="true" outlineLevel="0" collapsed="false">
      <c r="B38" s="30"/>
      <c r="C38" s="30"/>
      <c r="D38" s="30"/>
      <c r="E38" s="30"/>
      <c r="F38" s="30"/>
      <c r="G38" s="30"/>
      <c r="H38" s="30"/>
    </row>
    <row r="40" customFormat="false" ht="21.75" hidden="false" customHeight="true" outlineLevel="0" collapsed="false">
      <c r="B40" s="23" t="s">
        <v>146</v>
      </c>
      <c r="C40" s="23"/>
      <c r="D40" s="23"/>
      <c r="E40" s="23"/>
      <c r="F40" s="23"/>
      <c r="G40" s="23"/>
      <c r="H40" s="23"/>
    </row>
    <row r="41" customFormat="false" ht="36" hidden="false" customHeight="true" outlineLevel="0" collapsed="false">
      <c r="B41" s="31" t="s">
        <v>147</v>
      </c>
      <c r="C41" s="32" t="s">
        <v>230</v>
      </c>
      <c r="D41" s="32"/>
      <c r="E41" s="32"/>
      <c r="F41" s="32"/>
      <c r="G41" s="32"/>
      <c r="H41" s="32"/>
    </row>
    <row r="42" customFormat="false" ht="36" hidden="false" customHeight="true" outlineLevel="0" collapsed="false">
      <c r="B42" s="31" t="s">
        <v>149</v>
      </c>
      <c r="C42" s="32" t="s">
        <v>225</v>
      </c>
      <c r="D42" s="32"/>
      <c r="E42" s="32"/>
      <c r="F42" s="32"/>
      <c r="G42" s="32"/>
      <c r="H42" s="32"/>
    </row>
    <row r="43" customFormat="false" ht="36" hidden="false" customHeight="true" outlineLevel="0" collapsed="false">
      <c r="B43" s="31" t="s">
        <v>151</v>
      </c>
      <c r="C43" s="32" t="s">
        <v>226</v>
      </c>
      <c r="D43" s="32"/>
      <c r="E43" s="32"/>
      <c r="F43" s="32"/>
      <c r="G43" s="32"/>
      <c r="H43" s="32"/>
    </row>
    <row r="44" customFormat="false" ht="36" hidden="false" customHeight="true" outlineLevel="0" collapsed="false">
      <c r="B44" s="31" t="s">
        <v>153</v>
      </c>
      <c r="C44" s="32" t="s">
        <v>154</v>
      </c>
      <c r="D44" s="32"/>
      <c r="E44" s="32"/>
      <c r="F44" s="32"/>
      <c r="G44" s="32"/>
      <c r="H44" s="32"/>
    </row>
    <row r="45" customFormat="false" ht="36" hidden="false" customHeight="true" outlineLevel="0" collapsed="false">
      <c r="B45" s="31" t="s">
        <v>155</v>
      </c>
      <c r="C45" s="32" t="s">
        <v>156</v>
      </c>
      <c r="D45" s="32"/>
      <c r="E45" s="32"/>
      <c r="F45" s="32"/>
      <c r="G45" s="32"/>
      <c r="H45" s="32"/>
    </row>
    <row r="46" customFormat="false" ht="36" hidden="false" customHeight="true" outlineLevel="0" collapsed="false">
      <c r="B46" s="31" t="s">
        <v>157</v>
      </c>
      <c r="C46" s="32" t="s">
        <v>199</v>
      </c>
      <c r="D46" s="32"/>
      <c r="E46" s="32"/>
      <c r="F46" s="32"/>
      <c r="G46" s="32"/>
      <c r="H46" s="32"/>
    </row>
    <row r="47" customFormat="false" ht="36" hidden="false" customHeight="true" outlineLevel="0" collapsed="false">
      <c r="B47" s="31" t="s">
        <v>159</v>
      </c>
      <c r="C47" s="32" t="s">
        <v>160</v>
      </c>
      <c r="D47" s="32"/>
      <c r="E47" s="32"/>
      <c r="F47" s="32"/>
      <c r="G47" s="32"/>
      <c r="H47" s="32"/>
    </row>
  </sheetData>
  <mergeCells count="26">
    <mergeCell ref="B2:H2"/>
    <mergeCell ref="B3:H3"/>
    <mergeCell ref="B5:H5"/>
    <mergeCell ref="C6:E6"/>
    <mergeCell ref="C7:E7"/>
    <mergeCell ref="C8:E8"/>
    <mergeCell ref="C9:E9"/>
    <mergeCell ref="C10:E10"/>
    <mergeCell ref="C11:E11"/>
    <mergeCell ref="C12:E12"/>
    <mergeCell ref="C13:E13"/>
    <mergeCell ref="C14:E14"/>
    <mergeCell ref="B16:H16"/>
    <mergeCell ref="B17:H20"/>
    <mergeCell ref="B22:H22"/>
    <mergeCell ref="B31:H31"/>
    <mergeCell ref="B33:H33"/>
    <mergeCell ref="B34:H38"/>
    <mergeCell ref="B40:H40"/>
    <mergeCell ref="C41:H41"/>
    <mergeCell ref="C42:H42"/>
    <mergeCell ref="C43:H43"/>
    <mergeCell ref="C44:H44"/>
    <mergeCell ref="C45:H45"/>
    <mergeCell ref="C46:H46"/>
    <mergeCell ref="C47:H4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H4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22"/>
    <col collapsed="false" customWidth="true" hidden="false" outlineLevel="0" max="8" min="3" style="1" width="14"/>
  </cols>
  <sheetData>
    <row r="2" customFormat="false" ht="24" hidden="false" customHeight="true" outlineLevel="0" collapsed="false">
      <c r="B2" s="21" t="s">
        <v>231</v>
      </c>
      <c r="C2" s="21"/>
      <c r="D2" s="21"/>
      <c r="E2" s="21"/>
      <c r="F2" s="21"/>
      <c r="G2" s="21"/>
      <c r="H2" s="21"/>
    </row>
    <row r="3" customFormat="false" ht="15" hidden="false" customHeight="true" outlineLevel="0" collapsed="false">
      <c r="B3" s="22" t="s">
        <v>232</v>
      </c>
      <c r="C3" s="22"/>
      <c r="D3" s="22"/>
      <c r="E3" s="22"/>
      <c r="F3" s="22"/>
      <c r="G3" s="22"/>
      <c r="H3" s="22"/>
    </row>
    <row r="5" customFormat="false" ht="21.75" hidden="false" customHeight="true" outlineLevel="0" collapsed="false">
      <c r="B5" s="23" t="s">
        <v>117</v>
      </c>
      <c r="C5" s="23"/>
      <c r="D5" s="23"/>
      <c r="E5" s="23"/>
      <c r="F5" s="23"/>
      <c r="G5" s="23"/>
      <c r="H5" s="23"/>
    </row>
    <row r="6" customFormat="false" ht="15" hidden="false" customHeight="true" outlineLevel="0" collapsed="false">
      <c r="B6" s="24" t="s">
        <v>118</v>
      </c>
      <c r="C6" s="25" t="s">
        <v>221</v>
      </c>
      <c r="D6" s="25"/>
      <c r="E6" s="25"/>
    </row>
    <row r="7" customFormat="false" ht="15" hidden="false" customHeight="true" outlineLevel="0" collapsed="false">
      <c r="B7" s="24" t="s">
        <v>120</v>
      </c>
      <c r="C7" s="25" t="s">
        <v>176</v>
      </c>
      <c r="D7" s="25"/>
      <c r="E7" s="25"/>
    </row>
    <row r="8" customFormat="false" ht="15" hidden="false" customHeight="true" outlineLevel="0" collapsed="false">
      <c r="B8" s="24" t="s">
        <v>122</v>
      </c>
      <c r="C8" s="25" t="s">
        <v>123</v>
      </c>
      <c r="D8" s="25"/>
      <c r="E8" s="25"/>
    </row>
    <row r="9" customFormat="false" ht="15" hidden="false" customHeight="true" outlineLevel="0" collapsed="false">
      <c r="B9" s="24" t="s">
        <v>124</v>
      </c>
      <c r="C9" s="25" t="s">
        <v>202</v>
      </c>
      <c r="D9" s="25"/>
      <c r="E9" s="25"/>
    </row>
    <row r="10" customFormat="false" ht="15" hidden="false" customHeight="true" outlineLevel="0" collapsed="false">
      <c r="B10" s="24" t="s">
        <v>126</v>
      </c>
      <c r="C10" s="25" t="s">
        <v>52</v>
      </c>
      <c r="D10" s="25"/>
      <c r="E10" s="25"/>
    </row>
    <row r="11" customFormat="false" ht="15" hidden="false" customHeight="true" outlineLevel="0" collapsed="false">
      <c r="B11" s="24" t="s">
        <v>127</v>
      </c>
      <c r="C11" s="25" t="s">
        <v>194</v>
      </c>
      <c r="D11" s="25"/>
      <c r="E11" s="25"/>
    </row>
    <row r="12" customFormat="false" ht="15" hidden="false" customHeight="true" outlineLevel="0" collapsed="false">
      <c r="B12" s="24" t="s">
        <v>129</v>
      </c>
      <c r="C12" s="25" t="s">
        <v>203</v>
      </c>
      <c r="D12" s="25"/>
      <c r="E12" s="25"/>
    </row>
    <row r="13" customFormat="false" ht="15" hidden="false" customHeight="true" outlineLevel="0" collapsed="false">
      <c r="B13" s="24" t="s">
        <v>131</v>
      </c>
      <c r="C13" s="25" t="s">
        <v>184</v>
      </c>
      <c r="D13" s="25"/>
      <c r="E13" s="25"/>
    </row>
    <row r="14" customFormat="false" ht="15" hidden="false" customHeight="true" outlineLevel="0" collapsed="false">
      <c r="B14" s="24" t="s">
        <v>133</v>
      </c>
      <c r="C14" s="25" t="s">
        <v>185</v>
      </c>
      <c r="D14" s="25"/>
      <c r="E14" s="25"/>
    </row>
    <row r="16" customFormat="false" ht="21.75" hidden="false" customHeight="true" outlineLevel="0" collapsed="false">
      <c r="B16" s="23" t="s">
        <v>135</v>
      </c>
      <c r="C16" s="23"/>
      <c r="D16" s="23"/>
      <c r="E16" s="23"/>
      <c r="F16" s="23"/>
      <c r="G16" s="23"/>
      <c r="H16" s="23"/>
    </row>
    <row r="17" customFormat="false" ht="18" hidden="false" customHeight="true" outlineLevel="0" collapsed="false">
      <c r="B17" s="26" t="s">
        <v>233</v>
      </c>
      <c r="C17" s="26"/>
      <c r="D17" s="26"/>
      <c r="E17" s="26"/>
      <c r="F17" s="26"/>
      <c r="G17" s="26"/>
      <c r="H17" s="26"/>
    </row>
    <row r="18" customFormat="false" ht="18" hidden="false" customHeight="true" outlineLevel="0" collapsed="false">
      <c r="B18" s="26"/>
      <c r="C18" s="26"/>
      <c r="D18" s="26"/>
      <c r="E18" s="26"/>
      <c r="F18" s="26"/>
      <c r="G18" s="26"/>
      <c r="H18" s="26"/>
    </row>
    <row r="19" customFormat="false" ht="18" hidden="false" customHeight="true" outlineLevel="0" collapsed="false">
      <c r="B19" s="26"/>
      <c r="C19" s="26"/>
      <c r="D19" s="26"/>
      <c r="E19" s="26"/>
      <c r="F19" s="26"/>
      <c r="G19" s="26"/>
      <c r="H19" s="26"/>
    </row>
    <row r="20" customFormat="false" ht="18" hidden="false" customHeight="true" outlineLevel="0" collapsed="false">
      <c r="B20" s="26"/>
      <c r="C20" s="26"/>
      <c r="D20" s="26"/>
      <c r="E20" s="26"/>
      <c r="F20" s="26"/>
      <c r="G20" s="26"/>
      <c r="H20" s="26"/>
    </row>
    <row r="22" customFormat="false" ht="21.75" hidden="false" customHeight="true" outlineLevel="0" collapsed="false">
      <c r="B22" s="23" t="s">
        <v>137</v>
      </c>
      <c r="C22" s="23"/>
      <c r="D22" s="23"/>
      <c r="E22" s="23"/>
      <c r="F22" s="23"/>
      <c r="G22" s="23"/>
      <c r="H22" s="23"/>
    </row>
    <row r="23" customFormat="false" ht="30" hidden="false" customHeight="true" outlineLevel="0" collapsed="false">
      <c r="B23" s="27" t="s">
        <v>138</v>
      </c>
      <c r="C23" s="27" t="s">
        <v>139</v>
      </c>
      <c r="D23" s="27" t="s">
        <v>140</v>
      </c>
      <c r="E23" s="27" t="s">
        <v>141</v>
      </c>
      <c r="F23" s="27" t="s">
        <v>142</v>
      </c>
    </row>
    <row r="24" customFormat="false" ht="15" hidden="false" customHeight="true" outlineLevel="0" collapsed="false">
      <c r="B24" s="28" t="n">
        <v>1</v>
      </c>
      <c r="C24" s="28" t="n">
        <v>12</v>
      </c>
      <c r="D24" s="28" t="n">
        <v>2</v>
      </c>
      <c r="E24" s="28" t="n">
        <v>3</v>
      </c>
      <c r="F24" s="28" t="n">
        <v>0</v>
      </c>
    </row>
    <row r="25" customFormat="false" ht="15" hidden="false" customHeight="true" outlineLevel="0" collapsed="false">
      <c r="B25" s="29" t="n">
        <v>2</v>
      </c>
      <c r="C25" s="29" t="n">
        <v>12</v>
      </c>
      <c r="D25" s="29" t="n">
        <v>2</v>
      </c>
      <c r="E25" s="29" t="n">
        <v>3</v>
      </c>
      <c r="F25" s="29" t="n">
        <v>1</v>
      </c>
    </row>
    <row r="26" customFormat="false" ht="15" hidden="false" customHeight="true" outlineLevel="0" collapsed="false">
      <c r="B26" s="28" t="n">
        <v>3</v>
      </c>
      <c r="C26" s="28" t="n">
        <v>12</v>
      </c>
      <c r="D26" s="28" t="n">
        <v>2</v>
      </c>
      <c r="E26" s="28" t="n">
        <v>3</v>
      </c>
      <c r="F26" s="28" t="n">
        <v>2</v>
      </c>
    </row>
    <row r="27" customFormat="false" ht="15" hidden="false" customHeight="true" outlineLevel="0" collapsed="false">
      <c r="B27" s="29" t="n">
        <v>4</v>
      </c>
      <c r="C27" s="29" t="n">
        <v>12</v>
      </c>
      <c r="D27" s="29" t="n">
        <v>2</v>
      </c>
      <c r="E27" s="29" t="n">
        <v>3</v>
      </c>
      <c r="F27" s="29" t="n">
        <v>3</v>
      </c>
    </row>
    <row r="28" customFormat="false" ht="15" hidden="false" customHeight="true" outlineLevel="0" collapsed="false">
      <c r="B28" s="28" t="n">
        <v>5</v>
      </c>
      <c r="C28" s="28" t="n">
        <v>12</v>
      </c>
      <c r="D28" s="28" t="n">
        <v>2</v>
      </c>
      <c r="E28" s="28" t="n">
        <v>3</v>
      </c>
      <c r="F28" s="28" t="n">
        <v>4</v>
      </c>
    </row>
    <row r="29" customFormat="false" ht="15" hidden="false" customHeight="true" outlineLevel="0" collapsed="false">
      <c r="B29" s="29" t="n">
        <v>6</v>
      </c>
      <c r="C29" s="29" t="n">
        <v>12</v>
      </c>
      <c r="D29" s="29" t="n">
        <v>2</v>
      </c>
      <c r="E29" s="29" t="n">
        <v>3</v>
      </c>
      <c r="F29" s="29" t="n">
        <v>5</v>
      </c>
    </row>
    <row r="31" customFormat="false" ht="27.75" hidden="false" customHeight="true" outlineLevel="0" collapsed="false">
      <c r="B31" s="9" t="s">
        <v>205</v>
      </c>
      <c r="C31" s="9"/>
      <c r="D31" s="9"/>
      <c r="E31" s="9"/>
      <c r="F31" s="9"/>
      <c r="G31" s="9"/>
      <c r="H31" s="9"/>
    </row>
    <row r="33" customFormat="false" ht="21.75" hidden="false" customHeight="true" outlineLevel="0" collapsed="false">
      <c r="B33" s="23" t="s">
        <v>144</v>
      </c>
      <c r="C33" s="23"/>
      <c r="D33" s="23"/>
      <c r="E33" s="23"/>
      <c r="F33" s="23"/>
      <c r="G33" s="23"/>
      <c r="H33" s="23"/>
    </row>
    <row r="34" customFormat="false" ht="19.5" hidden="false" customHeight="true" outlineLevel="0" collapsed="false">
      <c r="B34" s="30" t="s">
        <v>223</v>
      </c>
      <c r="C34" s="30"/>
      <c r="D34" s="30"/>
      <c r="E34" s="30"/>
      <c r="F34" s="30"/>
      <c r="G34" s="30"/>
      <c r="H34" s="30"/>
    </row>
    <row r="35" customFormat="false" ht="19.5" hidden="false" customHeight="true" outlineLevel="0" collapsed="false">
      <c r="B35" s="30"/>
      <c r="C35" s="30"/>
      <c r="D35" s="30"/>
      <c r="E35" s="30"/>
      <c r="F35" s="30"/>
      <c r="G35" s="30"/>
      <c r="H35" s="30"/>
    </row>
    <row r="36" customFormat="false" ht="19.5" hidden="false" customHeight="true" outlineLevel="0" collapsed="false">
      <c r="B36" s="30"/>
      <c r="C36" s="30"/>
      <c r="D36" s="30"/>
      <c r="E36" s="30"/>
      <c r="F36" s="30"/>
      <c r="G36" s="30"/>
      <c r="H36" s="30"/>
    </row>
    <row r="37" customFormat="false" ht="19.5" hidden="false" customHeight="true" outlineLevel="0" collapsed="false">
      <c r="B37" s="30"/>
      <c r="C37" s="30"/>
      <c r="D37" s="30"/>
      <c r="E37" s="30"/>
      <c r="F37" s="30"/>
      <c r="G37" s="30"/>
      <c r="H37" s="30"/>
    </row>
    <row r="38" customFormat="false" ht="19.5" hidden="false" customHeight="true" outlineLevel="0" collapsed="false">
      <c r="B38" s="30"/>
      <c r="C38" s="30"/>
      <c r="D38" s="30"/>
      <c r="E38" s="30"/>
      <c r="F38" s="30"/>
      <c r="G38" s="30"/>
      <c r="H38" s="30"/>
    </row>
    <row r="40" customFormat="false" ht="21.75" hidden="false" customHeight="true" outlineLevel="0" collapsed="false">
      <c r="B40" s="23" t="s">
        <v>146</v>
      </c>
      <c r="C40" s="23"/>
      <c r="D40" s="23"/>
      <c r="E40" s="23"/>
      <c r="F40" s="23"/>
      <c r="G40" s="23"/>
      <c r="H40" s="23"/>
    </row>
    <row r="41" customFormat="false" ht="36" hidden="false" customHeight="true" outlineLevel="0" collapsed="false">
      <c r="B41" s="31" t="s">
        <v>147</v>
      </c>
      <c r="C41" s="32" t="s">
        <v>234</v>
      </c>
      <c r="D41" s="32"/>
      <c r="E41" s="32"/>
      <c r="F41" s="32"/>
      <c r="G41" s="32"/>
      <c r="H41" s="32"/>
    </row>
    <row r="42" customFormat="false" ht="36" hidden="false" customHeight="true" outlineLevel="0" collapsed="false">
      <c r="B42" s="31" t="s">
        <v>149</v>
      </c>
      <c r="C42" s="32" t="s">
        <v>225</v>
      </c>
      <c r="D42" s="32"/>
      <c r="E42" s="32"/>
      <c r="F42" s="32"/>
      <c r="G42" s="32"/>
      <c r="H42" s="32"/>
    </row>
    <row r="43" customFormat="false" ht="36" hidden="false" customHeight="true" outlineLevel="0" collapsed="false">
      <c r="B43" s="31" t="s">
        <v>151</v>
      </c>
      <c r="C43" s="32" t="s">
        <v>226</v>
      </c>
      <c r="D43" s="32"/>
      <c r="E43" s="32"/>
      <c r="F43" s="32"/>
      <c r="G43" s="32"/>
      <c r="H43" s="32"/>
    </row>
    <row r="44" customFormat="false" ht="36" hidden="false" customHeight="true" outlineLevel="0" collapsed="false">
      <c r="B44" s="31" t="s">
        <v>153</v>
      </c>
      <c r="C44" s="32" t="s">
        <v>154</v>
      </c>
      <c r="D44" s="32"/>
      <c r="E44" s="32"/>
      <c r="F44" s="32"/>
      <c r="G44" s="32"/>
      <c r="H44" s="32"/>
    </row>
    <row r="45" customFormat="false" ht="36" hidden="false" customHeight="true" outlineLevel="0" collapsed="false">
      <c r="B45" s="31" t="s">
        <v>155</v>
      </c>
      <c r="C45" s="32" t="s">
        <v>156</v>
      </c>
      <c r="D45" s="32"/>
      <c r="E45" s="32"/>
      <c r="F45" s="32"/>
      <c r="G45" s="32"/>
      <c r="H45" s="32"/>
    </row>
    <row r="46" customFormat="false" ht="36" hidden="false" customHeight="true" outlineLevel="0" collapsed="false">
      <c r="B46" s="31" t="s">
        <v>157</v>
      </c>
      <c r="C46" s="32" t="s">
        <v>199</v>
      </c>
      <c r="D46" s="32"/>
      <c r="E46" s="32"/>
      <c r="F46" s="32"/>
      <c r="G46" s="32"/>
      <c r="H46" s="32"/>
    </row>
    <row r="47" customFormat="false" ht="36" hidden="false" customHeight="true" outlineLevel="0" collapsed="false">
      <c r="B47" s="31" t="s">
        <v>159</v>
      </c>
      <c r="C47" s="32" t="s">
        <v>160</v>
      </c>
      <c r="D47" s="32"/>
      <c r="E47" s="32"/>
      <c r="F47" s="32"/>
      <c r="G47" s="32"/>
      <c r="H47" s="32"/>
    </row>
  </sheetData>
  <mergeCells count="26">
    <mergeCell ref="B2:H2"/>
    <mergeCell ref="B3:H3"/>
    <mergeCell ref="B5:H5"/>
    <mergeCell ref="C6:E6"/>
    <mergeCell ref="C7:E7"/>
    <mergeCell ref="C8:E8"/>
    <mergeCell ref="C9:E9"/>
    <mergeCell ref="C10:E10"/>
    <mergeCell ref="C11:E11"/>
    <mergeCell ref="C12:E12"/>
    <mergeCell ref="C13:E13"/>
    <mergeCell ref="C14:E14"/>
    <mergeCell ref="B16:H16"/>
    <mergeCell ref="B17:H20"/>
    <mergeCell ref="B22:H22"/>
    <mergeCell ref="B31:H31"/>
    <mergeCell ref="B33:H33"/>
    <mergeCell ref="B34:H38"/>
    <mergeCell ref="B40:H40"/>
    <mergeCell ref="C41:H41"/>
    <mergeCell ref="C42:H42"/>
    <mergeCell ref="C43:H43"/>
    <mergeCell ref="C44:H44"/>
    <mergeCell ref="C45:H45"/>
    <mergeCell ref="C46:H46"/>
    <mergeCell ref="C47:H4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H4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22"/>
    <col collapsed="false" customWidth="true" hidden="false" outlineLevel="0" max="8" min="3" style="1" width="14"/>
  </cols>
  <sheetData>
    <row r="2" customFormat="false" ht="24" hidden="false" customHeight="true" outlineLevel="0" collapsed="false">
      <c r="B2" s="21" t="s">
        <v>235</v>
      </c>
      <c r="C2" s="21"/>
      <c r="D2" s="21"/>
      <c r="E2" s="21"/>
      <c r="F2" s="21"/>
      <c r="G2" s="21"/>
      <c r="H2" s="21"/>
    </row>
    <row r="3" customFormat="false" ht="15" hidden="false" customHeight="true" outlineLevel="0" collapsed="false">
      <c r="B3" s="22" t="s">
        <v>236</v>
      </c>
      <c r="C3" s="22"/>
      <c r="D3" s="22"/>
      <c r="E3" s="22"/>
      <c r="F3" s="22"/>
      <c r="G3" s="22"/>
      <c r="H3" s="22"/>
    </row>
    <row r="5" customFormat="false" ht="21.75" hidden="false" customHeight="true" outlineLevel="0" collapsed="false">
      <c r="B5" s="23" t="s">
        <v>117</v>
      </c>
      <c r="C5" s="23"/>
      <c r="D5" s="23"/>
      <c r="E5" s="23"/>
      <c r="F5" s="23"/>
      <c r="G5" s="23"/>
      <c r="H5" s="23"/>
    </row>
    <row r="6" customFormat="false" ht="15" hidden="false" customHeight="true" outlineLevel="0" collapsed="false">
      <c r="B6" s="24" t="s">
        <v>118</v>
      </c>
      <c r="C6" s="25" t="s">
        <v>221</v>
      </c>
      <c r="D6" s="25"/>
      <c r="E6" s="25"/>
    </row>
    <row r="7" customFormat="false" ht="15" hidden="false" customHeight="true" outlineLevel="0" collapsed="false">
      <c r="B7" s="24" t="s">
        <v>120</v>
      </c>
      <c r="C7" s="25" t="s">
        <v>183</v>
      </c>
      <c r="D7" s="25"/>
      <c r="E7" s="25"/>
    </row>
    <row r="8" customFormat="false" ht="15" hidden="false" customHeight="true" outlineLevel="0" collapsed="false">
      <c r="B8" s="24" t="s">
        <v>122</v>
      </c>
      <c r="C8" s="25" t="s">
        <v>123</v>
      </c>
      <c r="D8" s="25"/>
      <c r="E8" s="25"/>
    </row>
    <row r="9" customFormat="false" ht="15" hidden="false" customHeight="true" outlineLevel="0" collapsed="false">
      <c r="B9" s="24" t="s">
        <v>124</v>
      </c>
      <c r="C9" s="25" t="s">
        <v>209</v>
      </c>
      <c r="D9" s="25"/>
      <c r="E9" s="25"/>
    </row>
    <row r="10" customFormat="false" ht="15" hidden="false" customHeight="true" outlineLevel="0" collapsed="false">
      <c r="B10" s="24" t="s">
        <v>126</v>
      </c>
      <c r="C10" s="25" t="s">
        <v>52</v>
      </c>
      <c r="D10" s="25"/>
      <c r="E10" s="25"/>
    </row>
    <row r="11" customFormat="false" ht="15" hidden="false" customHeight="true" outlineLevel="0" collapsed="false">
      <c r="B11" s="24" t="s">
        <v>127</v>
      </c>
      <c r="C11" s="25" t="s">
        <v>194</v>
      </c>
      <c r="D11" s="25"/>
      <c r="E11" s="25"/>
    </row>
    <row r="12" customFormat="false" ht="15" hidden="false" customHeight="true" outlineLevel="0" collapsed="false">
      <c r="B12" s="24" t="s">
        <v>129</v>
      </c>
      <c r="C12" s="25" t="s">
        <v>166</v>
      </c>
      <c r="D12" s="25"/>
      <c r="E12" s="25"/>
    </row>
    <row r="13" customFormat="false" ht="15" hidden="false" customHeight="true" outlineLevel="0" collapsed="false">
      <c r="B13" s="24" t="s">
        <v>131</v>
      </c>
      <c r="C13" s="25" t="s">
        <v>184</v>
      </c>
      <c r="D13" s="25"/>
      <c r="E13" s="25"/>
    </row>
    <row r="14" customFormat="false" ht="15" hidden="false" customHeight="true" outlineLevel="0" collapsed="false">
      <c r="B14" s="24" t="s">
        <v>133</v>
      </c>
      <c r="C14" s="25" t="s">
        <v>185</v>
      </c>
      <c r="D14" s="25"/>
      <c r="E14" s="25"/>
    </row>
    <row r="16" customFormat="false" ht="21.75" hidden="false" customHeight="true" outlineLevel="0" collapsed="false">
      <c r="B16" s="23" t="s">
        <v>135</v>
      </c>
      <c r="C16" s="23"/>
      <c r="D16" s="23"/>
      <c r="E16" s="23"/>
      <c r="F16" s="23"/>
      <c r="G16" s="23"/>
      <c r="H16" s="23"/>
    </row>
    <row r="17" customFormat="false" ht="18" hidden="false" customHeight="true" outlineLevel="0" collapsed="false">
      <c r="B17" s="26" t="s">
        <v>237</v>
      </c>
      <c r="C17" s="26"/>
      <c r="D17" s="26"/>
      <c r="E17" s="26"/>
      <c r="F17" s="26"/>
      <c r="G17" s="26"/>
      <c r="H17" s="26"/>
    </row>
    <row r="18" customFormat="false" ht="18" hidden="false" customHeight="true" outlineLevel="0" collapsed="false">
      <c r="B18" s="26"/>
      <c r="C18" s="26"/>
      <c r="D18" s="26"/>
      <c r="E18" s="26"/>
      <c r="F18" s="26"/>
      <c r="G18" s="26"/>
      <c r="H18" s="26"/>
    </row>
    <row r="19" customFormat="false" ht="18" hidden="false" customHeight="true" outlineLevel="0" collapsed="false">
      <c r="B19" s="26"/>
      <c r="C19" s="26"/>
      <c r="D19" s="26"/>
      <c r="E19" s="26"/>
      <c r="F19" s="26"/>
      <c r="G19" s="26"/>
      <c r="H19" s="26"/>
    </row>
    <row r="20" customFormat="false" ht="18" hidden="false" customHeight="true" outlineLevel="0" collapsed="false">
      <c r="B20" s="26"/>
      <c r="C20" s="26"/>
      <c r="D20" s="26"/>
      <c r="E20" s="26"/>
      <c r="F20" s="26"/>
      <c r="G20" s="26"/>
      <c r="H20" s="26"/>
    </row>
    <row r="22" customFormat="false" ht="21.75" hidden="false" customHeight="true" outlineLevel="0" collapsed="false">
      <c r="B22" s="23" t="s">
        <v>137</v>
      </c>
      <c r="C22" s="23"/>
      <c r="D22" s="23"/>
      <c r="E22" s="23"/>
      <c r="F22" s="23"/>
      <c r="G22" s="23"/>
      <c r="H22" s="23"/>
    </row>
    <row r="23" customFormat="false" ht="30" hidden="false" customHeight="true" outlineLevel="0" collapsed="false">
      <c r="B23" s="27" t="s">
        <v>138</v>
      </c>
      <c r="C23" s="27" t="s">
        <v>139</v>
      </c>
      <c r="D23" s="27" t="s">
        <v>140</v>
      </c>
      <c r="E23" s="27" t="s">
        <v>141</v>
      </c>
      <c r="F23" s="27" t="s">
        <v>142</v>
      </c>
    </row>
    <row r="24" customFormat="false" ht="15" hidden="false" customHeight="true" outlineLevel="0" collapsed="false">
      <c r="B24" s="28" t="n">
        <v>1</v>
      </c>
      <c r="C24" s="28" t="n">
        <v>12</v>
      </c>
      <c r="D24" s="28" t="n">
        <v>3</v>
      </c>
      <c r="E24" s="28" t="n">
        <v>3</v>
      </c>
      <c r="F24" s="28" t="n">
        <v>0</v>
      </c>
    </row>
    <row r="25" customFormat="false" ht="15" hidden="false" customHeight="true" outlineLevel="0" collapsed="false">
      <c r="B25" s="29" t="n">
        <v>2</v>
      </c>
      <c r="C25" s="29" t="n">
        <v>12</v>
      </c>
      <c r="D25" s="29" t="n">
        <v>3</v>
      </c>
      <c r="E25" s="29" t="n">
        <v>3</v>
      </c>
      <c r="F25" s="29" t="n">
        <v>1</v>
      </c>
    </row>
    <row r="26" customFormat="false" ht="15" hidden="false" customHeight="true" outlineLevel="0" collapsed="false">
      <c r="B26" s="28" t="n">
        <v>3</v>
      </c>
      <c r="C26" s="28" t="n">
        <v>12</v>
      </c>
      <c r="D26" s="28" t="n">
        <v>3</v>
      </c>
      <c r="E26" s="28" t="n">
        <v>3</v>
      </c>
      <c r="F26" s="28" t="n">
        <v>2</v>
      </c>
    </row>
    <row r="27" customFormat="false" ht="15" hidden="false" customHeight="true" outlineLevel="0" collapsed="false">
      <c r="B27" s="29" t="n">
        <v>4</v>
      </c>
      <c r="C27" s="29" t="n">
        <v>12</v>
      </c>
      <c r="D27" s="29" t="n">
        <v>3</v>
      </c>
      <c r="E27" s="29" t="n">
        <v>3</v>
      </c>
      <c r="F27" s="29" t="n">
        <v>3</v>
      </c>
    </row>
    <row r="28" customFormat="false" ht="15" hidden="false" customHeight="true" outlineLevel="0" collapsed="false">
      <c r="B28" s="28" t="n">
        <v>5</v>
      </c>
      <c r="C28" s="28" t="n">
        <v>12</v>
      </c>
      <c r="D28" s="28" t="n">
        <v>3</v>
      </c>
      <c r="E28" s="28" t="n">
        <v>3</v>
      </c>
      <c r="F28" s="28" t="n">
        <v>4</v>
      </c>
    </row>
    <row r="29" customFormat="false" ht="15" hidden="false" customHeight="true" outlineLevel="0" collapsed="false">
      <c r="B29" s="29" t="n">
        <v>6</v>
      </c>
      <c r="C29" s="29" t="n">
        <v>12</v>
      </c>
      <c r="D29" s="29" t="n">
        <v>3</v>
      </c>
      <c r="E29" s="29" t="n">
        <v>3</v>
      </c>
      <c r="F29" s="29" t="n">
        <v>4</v>
      </c>
    </row>
    <row r="31" customFormat="false" ht="27.75" hidden="false" customHeight="true" outlineLevel="0" collapsed="false">
      <c r="B31" s="9" t="s">
        <v>178</v>
      </c>
      <c r="C31" s="9"/>
      <c r="D31" s="9"/>
      <c r="E31" s="9"/>
      <c r="F31" s="9"/>
      <c r="G31" s="9"/>
      <c r="H31" s="9"/>
    </row>
    <row r="33" customFormat="false" ht="21.75" hidden="false" customHeight="true" outlineLevel="0" collapsed="false">
      <c r="B33" s="23" t="s">
        <v>144</v>
      </c>
      <c r="C33" s="23"/>
      <c r="D33" s="23"/>
      <c r="E33" s="23"/>
      <c r="F33" s="23"/>
      <c r="G33" s="23"/>
      <c r="H33" s="23"/>
    </row>
    <row r="34" customFormat="false" ht="19.5" hidden="false" customHeight="true" outlineLevel="0" collapsed="false">
      <c r="B34" s="30" t="s">
        <v>223</v>
      </c>
      <c r="C34" s="30"/>
      <c r="D34" s="30"/>
      <c r="E34" s="30"/>
      <c r="F34" s="30"/>
      <c r="G34" s="30"/>
      <c r="H34" s="30"/>
    </row>
    <row r="35" customFormat="false" ht="19.5" hidden="false" customHeight="true" outlineLevel="0" collapsed="false">
      <c r="B35" s="30"/>
      <c r="C35" s="30"/>
      <c r="D35" s="30"/>
      <c r="E35" s="30"/>
      <c r="F35" s="30"/>
      <c r="G35" s="30"/>
      <c r="H35" s="30"/>
    </row>
    <row r="36" customFormat="false" ht="19.5" hidden="false" customHeight="true" outlineLevel="0" collapsed="false">
      <c r="B36" s="30"/>
      <c r="C36" s="30"/>
      <c r="D36" s="30"/>
      <c r="E36" s="30"/>
      <c r="F36" s="30"/>
      <c r="G36" s="30"/>
      <c r="H36" s="30"/>
    </row>
    <row r="37" customFormat="false" ht="19.5" hidden="false" customHeight="true" outlineLevel="0" collapsed="false">
      <c r="B37" s="30"/>
      <c r="C37" s="30"/>
      <c r="D37" s="30"/>
      <c r="E37" s="30"/>
      <c r="F37" s="30"/>
      <c r="G37" s="30"/>
      <c r="H37" s="30"/>
    </row>
    <row r="38" customFormat="false" ht="19.5" hidden="false" customHeight="true" outlineLevel="0" collapsed="false">
      <c r="B38" s="30"/>
      <c r="C38" s="30"/>
      <c r="D38" s="30"/>
      <c r="E38" s="30"/>
      <c r="F38" s="30"/>
      <c r="G38" s="30"/>
      <c r="H38" s="30"/>
    </row>
    <row r="40" customFormat="false" ht="21.75" hidden="false" customHeight="true" outlineLevel="0" collapsed="false">
      <c r="B40" s="23" t="s">
        <v>146</v>
      </c>
      <c r="C40" s="23"/>
      <c r="D40" s="23"/>
      <c r="E40" s="23"/>
      <c r="F40" s="23"/>
      <c r="G40" s="23"/>
      <c r="H40" s="23"/>
    </row>
    <row r="41" customFormat="false" ht="36" hidden="false" customHeight="true" outlineLevel="0" collapsed="false">
      <c r="B41" s="31" t="s">
        <v>147</v>
      </c>
      <c r="C41" s="32" t="s">
        <v>238</v>
      </c>
      <c r="D41" s="32"/>
      <c r="E41" s="32"/>
      <c r="F41" s="32"/>
      <c r="G41" s="32"/>
      <c r="H41" s="32"/>
    </row>
    <row r="42" customFormat="false" ht="36" hidden="false" customHeight="true" outlineLevel="0" collapsed="false">
      <c r="B42" s="31" t="s">
        <v>149</v>
      </c>
      <c r="C42" s="32" t="s">
        <v>225</v>
      </c>
      <c r="D42" s="32"/>
      <c r="E42" s="32"/>
      <c r="F42" s="32"/>
      <c r="G42" s="32"/>
      <c r="H42" s="32"/>
    </row>
    <row r="43" customFormat="false" ht="36" hidden="false" customHeight="true" outlineLevel="0" collapsed="false">
      <c r="B43" s="31" t="s">
        <v>151</v>
      </c>
      <c r="C43" s="32" t="s">
        <v>226</v>
      </c>
      <c r="D43" s="32"/>
      <c r="E43" s="32"/>
      <c r="F43" s="32"/>
      <c r="G43" s="32"/>
      <c r="H43" s="32"/>
    </row>
    <row r="44" customFormat="false" ht="36" hidden="false" customHeight="true" outlineLevel="0" collapsed="false">
      <c r="B44" s="31" t="s">
        <v>153</v>
      </c>
      <c r="C44" s="32" t="s">
        <v>154</v>
      </c>
      <c r="D44" s="32"/>
      <c r="E44" s="32"/>
      <c r="F44" s="32"/>
      <c r="G44" s="32"/>
      <c r="H44" s="32"/>
    </row>
    <row r="45" customFormat="false" ht="36" hidden="false" customHeight="true" outlineLevel="0" collapsed="false">
      <c r="B45" s="31" t="s">
        <v>155</v>
      </c>
      <c r="C45" s="32" t="s">
        <v>156</v>
      </c>
      <c r="D45" s="32"/>
      <c r="E45" s="32"/>
      <c r="F45" s="32"/>
      <c r="G45" s="32"/>
      <c r="H45" s="32"/>
    </row>
    <row r="46" customFormat="false" ht="36" hidden="false" customHeight="true" outlineLevel="0" collapsed="false">
      <c r="B46" s="31" t="s">
        <v>157</v>
      </c>
      <c r="C46" s="32" t="s">
        <v>199</v>
      </c>
      <c r="D46" s="32"/>
      <c r="E46" s="32"/>
      <c r="F46" s="32"/>
      <c r="G46" s="32"/>
      <c r="H46" s="32"/>
    </row>
    <row r="47" customFormat="false" ht="36" hidden="false" customHeight="true" outlineLevel="0" collapsed="false">
      <c r="B47" s="31" t="s">
        <v>159</v>
      </c>
      <c r="C47" s="32" t="s">
        <v>160</v>
      </c>
      <c r="D47" s="32"/>
      <c r="E47" s="32"/>
      <c r="F47" s="32"/>
      <c r="G47" s="32"/>
      <c r="H47" s="32"/>
    </row>
  </sheetData>
  <mergeCells count="26">
    <mergeCell ref="B2:H2"/>
    <mergeCell ref="B3:H3"/>
    <mergeCell ref="B5:H5"/>
    <mergeCell ref="C6:E6"/>
    <mergeCell ref="C7:E7"/>
    <mergeCell ref="C8:E8"/>
    <mergeCell ref="C9:E9"/>
    <mergeCell ref="C10:E10"/>
    <mergeCell ref="C11:E11"/>
    <mergeCell ref="C12:E12"/>
    <mergeCell ref="C13:E13"/>
    <mergeCell ref="C14:E14"/>
    <mergeCell ref="B16:H16"/>
    <mergeCell ref="B17:H20"/>
    <mergeCell ref="B22:H22"/>
    <mergeCell ref="B31:H31"/>
    <mergeCell ref="B33:H33"/>
    <mergeCell ref="B34:H38"/>
    <mergeCell ref="B40:H40"/>
    <mergeCell ref="C41:H41"/>
    <mergeCell ref="C42:H42"/>
    <mergeCell ref="C43:H43"/>
    <mergeCell ref="C44:H44"/>
    <mergeCell ref="C45:H45"/>
    <mergeCell ref="C46:H46"/>
    <mergeCell ref="C47:H4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H4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22"/>
    <col collapsed="false" customWidth="true" hidden="false" outlineLevel="0" max="8" min="3" style="1" width="14"/>
  </cols>
  <sheetData>
    <row r="2" customFormat="false" ht="24" hidden="false" customHeight="true" outlineLevel="0" collapsed="false">
      <c r="B2" s="21" t="s">
        <v>239</v>
      </c>
      <c r="C2" s="21"/>
      <c r="D2" s="21"/>
      <c r="E2" s="21"/>
      <c r="F2" s="21"/>
      <c r="G2" s="21"/>
      <c r="H2" s="21"/>
    </row>
    <row r="3" customFormat="false" ht="15" hidden="false" customHeight="true" outlineLevel="0" collapsed="false">
      <c r="B3" s="22" t="s">
        <v>240</v>
      </c>
      <c r="C3" s="22"/>
      <c r="D3" s="22"/>
      <c r="E3" s="22"/>
      <c r="F3" s="22"/>
      <c r="G3" s="22"/>
      <c r="H3" s="22"/>
    </row>
    <row r="5" customFormat="false" ht="21.75" hidden="false" customHeight="true" outlineLevel="0" collapsed="false">
      <c r="B5" s="23" t="s">
        <v>117</v>
      </c>
      <c r="C5" s="23"/>
      <c r="D5" s="23"/>
      <c r="E5" s="23"/>
      <c r="F5" s="23"/>
      <c r="G5" s="23"/>
      <c r="H5" s="23"/>
    </row>
    <row r="6" customFormat="false" ht="15" hidden="false" customHeight="true" outlineLevel="0" collapsed="false">
      <c r="B6" s="24" t="s">
        <v>118</v>
      </c>
      <c r="C6" s="25" t="s">
        <v>241</v>
      </c>
      <c r="D6" s="25"/>
      <c r="E6" s="25"/>
    </row>
    <row r="7" customFormat="false" ht="15" hidden="false" customHeight="true" outlineLevel="0" collapsed="false">
      <c r="B7" s="24" t="s">
        <v>120</v>
      </c>
      <c r="C7" s="25" t="s">
        <v>121</v>
      </c>
      <c r="D7" s="25"/>
      <c r="E7" s="25"/>
    </row>
    <row r="8" customFormat="false" ht="15" hidden="false" customHeight="true" outlineLevel="0" collapsed="false">
      <c r="B8" s="24" t="s">
        <v>122</v>
      </c>
      <c r="C8" s="25" t="s">
        <v>123</v>
      </c>
      <c r="D8" s="25"/>
      <c r="E8" s="25"/>
    </row>
    <row r="9" customFormat="false" ht="15" hidden="false" customHeight="true" outlineLevel="0" collapsed="false">
      <c r="B9" s="24" t="s">
        <v>124</v>
      </c>
      <c r="C9" s="25" t="s">
        <v>125</v>
      </c>
      <c r="D9" s="25"/>
      <c r="E9" s="25"/>
    </row>
    <row r="10" customFormat="false" ht="15" hidden="false" customHeight="true" outlineLevel="0" collapsed="false">
      <c r="B10" s="24" t="s">
        <v>126</v>
      </c>
      <c r="C10" s="25" t="s">
        <v>52</v>
      </c>
      <c r="D10" s="25"/>
      <c r="E10" s="25"/>
    </row>
    <row r="11" customFormat="false" ht="15" hidden="false" customHeight="true" outlineLevel="0" collapsed="false">
      <c r="B11" s="24" t="s">
        <v>127</v>
      </c>
      <c r="C11" s="25" t="s">
        <v>194</v>
      </c>
      <c r="D11" s="25"/>
      <c r="E11" s="25"/>
    </row>
    <row r="12" customFormat="false" ht="15" hidden="false" customHeight="true" outlineLevel="0" collapsed="false">
      <c r="B12" s="24" t="s">
        <v>129</v>
      </c>
      <c r="C12" s="25" t="s">
        <v>130</v>
      </c>
      <c r="D12" s="25"/>
      <c r="E12" s="25"/>
    </row>
    <row r="13" customFormat="false" ht="15" hidden="false" customHeight="true" outlineLevel="0" collapsed="false">
      <c r="B13" s="24" t="s">
        <v>131</v>
      </c>
      <c r="C13" s="25" t="s">
        <v>184</v>
      </c>
      <c r="D13" s="25"/>
      <c r="E13" s="25"/>
    </row>
    <row r="14" customFormat="false" ht="15" hidden="false" customHeight="true" outlineLevel="0" collapsed="false">
      <c r="B14" s="24" t="s">
        <v>133</v>
      </c>
      <c r="C14" s="25" t="s">
        <v>185</v>
      </c>
      <c r="D14" s="25"/>
      <c r="E14" s="25"/>
    </row>
    <row r="16" customFormat="false" ht="21.75" hidden="false" customHeight="true" outlineLevel="0" collapsed="false">
      <c r="B16" s="23" t="s">
        <v>135</v>
      </c>
      <c r="C16" s="23"/>
      <c r="D16" s="23"/>
      <c r="E16" s="23"/>
      <c r="F16" s="23"/>
      <c r="G16" s="23"/>
      <c r="H16" s="23"/>
    </row>
    <row r="17" customFormat="false" ht="18" hidden="false" customHeight="true" outlineLevel="0" collapsed="false">
      <c r="B17" s="26" t="s">
        <v>242</v>
      </c>
      <c r="C17" s="26"/>
      <c r="D17" s="26"/>
      <c r="E17" s="26"/>
      <c r="F17" s="26"/>
      <c r="G17" s="26"/>
      <c r="H17" s="26"/>
    </row>
    <row r="18" customFormat="false" ht="18" hidden="false" customHeight="true" outlineLevel="0" collapsed="false">
      <c r="B18" s="26"/>
      <c r="C18" s="26"/>
      <c r="D18" s="26"/>
      <c r="E18" s="26"/>
      <c r="F18" s="26"/>
      <c r="G18" s="26"/>
      <c r="H18" s="26"/>
    </row>
    <row r="19" customFormat="false" ht="18" hidden="false" customHeight="true" outlineLevel="0" collapsed="false">
      <c r="B19" s="26"/>
      <c r="C19" s="26"/>
      <c r="D19" s="26"/>
      <c r="E19" s="26"/>
      <c r="F19" s="26"/>
      <c r="G19" s="26"/>
      <c r="H19" s="26"/>
    </row>
    <row r="20" customFormat="false" ht="18" hidden="false" customHeight="true" outlineLevel="0" collapsed="false">
      <c r="B20" s="26"/>
      <c r="C20" s="26"/>
      <c r="D20" s="26"/>
      <c r="E20" s="26"/>
      <c r="F20" s="26"/>
      <c r="G20" s="26"/>
      <c r="H20" s="26"/>
    </row>
    <row r="22" customFormat="false" ht="21.75" hidden="false" customHeight="true" outlineLevel="0" collapsed="false">
      <c r="B22" s="23" t="s">
        <v>137</v>
      </c>
      <c r="C22" s="23"/>
      <c r="D22" s="23"/>
      <c r="E22" s="23"/>
      <c r="F22" s="23"/>
      <c r="G22" s="23"/>
      <c r="H22" s="23"/>
    </row>
    <row r="23" customFormat="false" ht="30" hidden="false" customHeight="true" outlineLevel="0" collapsed="false">
      <c r="B23" s="27" t="s">
        <v>138</v>
      </c>
      <c r="C23" s="27" t="s">
        <v>139</v>
      </c>
      <c r="D23" s="27" t="s">
        <v>140</v>
      </c>
      <c r="E23" s="27" t="s">
        <v>141</v>
      </c>
      <c r="F23" s="27" t="s">
        <v>142</v>
      </c>
    </row>
    <row r="24" customFormat="false" ht="15" hidden="false" customHeight="true" outlineLevel="0" collapsed="false">
      <c r="B24" s="28" t="n">
        <v>1</v>
      </c>
      <c r="C24" s="28" t="n">
        <v>16</v>
      </c>
      <c r="D24" s="28" t="n">
        <v>0</v>
      </c>
      <c r="E24" s="28" t="n">
        <v>4</v>
      </c>
      <c r="F24" s="28" t="n">
        <v>1</v>
      </c>
    </row>
    <row r="25" customFormat="false" ht="15" hidden="false" customHeight="true" outlineLevel="0" collapsed="false">
      <c r="B25" s="29" t="n">
        <v>2</v>
      </c>
      <c r="C25" s="29" t="n">
        <v>16</v>
      </c>
      <c r="D25" s="29" t="n">
        <v>0</v>
      </c>
      <c r="E25" s="29" t="n">
        <v>4</v>
      </c>
      <c r="F25" s="29" t="n">
        <v>2</v>
      </c>
    </row>
    <row r="26" customFormat="false" ht="15" hidden="false" customHeight="true" outlineLevel="0" collapsed="false">
      <c r="B26" s="28" t="n">
        <v>3</v>
      </c>
      <c r="C26" s="28" t="n">
        <v>16</v>
      </c>
      <c r="D26" s="28" t="n">
        <v>0</v>
      </c>
      <c r="E26" s="28" t="n">
        <v>4</v>
      </c>
      <c r="F26" s="28" t="n">
        <v>3</v>
      </c>
    </row>
    <row r="27" customFormat="false" ht="15" hidden="false" customHeight="true" outlineLevel="0" collapsed="false">
      <c r="B27" s="29" t="n">
        <v>4</v>
      </c>
      <c r="C27" s="29" t="n">
        <v>16</v>
      </c>
      <c r="D27" s="29" t="n">
        <v>0</v>
      </c>
      <c r="E27" s="29" t="n">
        <v>4</v>
      </c>
      <c r="F27" s="29" t="n">
        <v>4</v>
      </c>
    </row>
    <row r="28" customFormat="false" ht="15" hidden="false" customHeight="true" outlineLevel="0" collapsed="false">
      <c r="B28" s="28" t="n">
        <v>5</v>
      </c>
      <c r="C28" s="28" t="n">
        <v>16</v>
      </c>
      <c r="D28" s="28" t="n">
        <v>0</v>
      </c>
      <c r="E28" s="28" t="n">
        <v>4</v>
      </c>
      <c r="F28" s="28" t="n">
        <v>5</v>
      </c>
    </row>
    <row r="29" customFormat="false" ht="15" hidden="false" customHeight="true" outlineLevel="0" collapsed="false">
      <c r="B29" s="29" t="n">
        <v>6</v>
      </c>
      <c r="C29" s="29" t="n">
        <v>16</v>
      </c>
      <c r="D29" s="29" t="n">
        <v>0</v>
      </c>
      <c r="E29" s="29" t="n">
        <v>4</v>
      </c>
      <c r="F29" s="29" t="n">
        <v>6</v>
      </c>
    </row>
    <row r="31" customFormat="false" ht="27.75" hidden="false" customHeight="true" outlineLevel="0" collapsed="false">
      <c r="B31" s="9" t="s">
        <v>143</v>
      </c>
      <c r="C31" s="9"/>
      <c r="D31" s="9"/>
      <c r="E31" s="9"/>
      <c r="F31" s="9"/>
      <c r="G31" s="9"/>
      <c r="H31" s="9"/>
    </row>
    <row r="33" customFormat="false" ht="21.75" hidden="false" customHeight="true" outlineLevel="0" collapsed="false">
      <c r="B33" s="23" t="s">
        <v>144</v>
      </c>
      <c r="C33" s="23"/>
      <c r="D33" s="23"/>
      <c r="E33" s="23"/>
      <c r="F33" s="23"/>
      <c r="G33" s="23"/>
      <c r="H33" s="23"/>
    </row>
    <row r="34" customFormat="false" ht="19.5" hidden="false" customHeight="true" outlineLevel="0" collapsed="false">
      <c r="B34" s="30" t="s">
        <v>223</v>
      </c>
      <c r="C34" s="30"/>
      <c r="D34" s="30"/>
      <c r="E34" s="30"/>
      <c r="F34" s="30"/>
      <c r="G34" s="30"/>
      <c r="H34" s="30"/>
    </row>
    <row r="35" customFormat="false" ht="19.5" hidden="false" customHeight="true" outlineLevel="0" collapsed="false">
      <c r="B35" s="30"/>
      <c r="C35" s="30"/>
      <c r="D35" s="30"/>
      <c r="E35" s="30"/>
      <c r="F35" s="30"/>
      <c r="G35" s="30"/>
      <c r="H35" s="30"/>
    </row>
    <row r="36" customFormat="false" ht="19.5" hidden="false" customHeight="true" outlineLevel="0" collapsed="false">
      <c r="B36" s="30"/>
      <c r="C36" s="30"/>
      <c r="D36" s="30"/>
      <c r="E36" s="30"/>
      <c r="F36" s="30"/>
      <c r="G36" s="30"/>
      <c r="H36" s="30"/>
    </row>
    <row r="37" customFormat="false" ht="19.5" hidden="false" customHeight="true" outlineLevel="0" collapsed="false">
      <c r="B37" s="30"/>
      <c r="C37" s="30"/>
      <c r="D37" s="30"/>
      <c r="E37" s="30"/>
      <c r="F37" s="30"/>
      <c r="G37" s="30"/>
      <c r="H37" s="30"/>
    </row>
    <row r="38" customFormat="false" ht="19.5" hidden="false" customHeight="true" outlineLevel="0" collapsed="false">
      <c r="B38" s="30"/>
      <c r="C38" s="30"/>
      <c r="D38" s="30"/>
      <c r="E38" s="30"/>
      <c r="F38" s="30"/>
      <c r="G38" s="30"/>
      <c r="H38" s="30"/>
    </row>
    <row r="40" customFormat="false" ht="21.75" hidden="false" customHeight="true" outlineLevel="0" collapsed="false">
      <c r="B40" s="23" t="s">
        <v>146</v>
      </c>
      <c r="C40" s="23"/>
      <c r="D40" s="23"/>
      <c r="E40" s="23"/>
      <c r="F40" s="23"/>
      <c r="G40" s="23"/>
      <c r="H40" s="23"/>
    </row>
    <row r="41" customFormat="false" ht="36" hidden="false" customHeight="true" outlineLevel="0" collapsed="false">
      <c r="B41" s="31" t="s">
        <v>147</v>
      </c>
      <c r="C41" s="32" t="s">
        <v>243</v>
      </c>
      <c r="D41" s="32"/>
      <c r="E41" s="32"/>
      <c r="F41" s="32"/>
      <c r="G41" s="32"/>
      <c r="H41" s="32"/>
    </row>
    <row r="42" customFormat="false" ht="36" hidden="false" customHeight="true" outlineLevel="0" collapsed="false">
      <c r="B42" s="31" t="s">
        <v>149</v>
      </c>
      <c r="C42" s="32" t="s">
        <v>244</v>
      </c>
      <c r="D42" s="32"/>
      <c r="E42" s="32"/>
      <c r="F42" s="32"/>
      <c r="G42" s="32"/>
      <c r="H42" s="32"/>
    </row>
    <row r="43" customFormat="false" ht="36" hidden="false" customHeight="true" outlineLevel="0" collapsed="false">
      <c r="B43" s="31" t="s">
        <v>151</v>
      </c>
      <c r="C43" s="32" t="s">
        <v>226</v>
      </c>
      <c r="D43" s="32"/>
      <c r="E43" s="32"/>
      <c r="F43" s="32"/>
      <c r="G43" s="32"/>
      <c r="H43" s="32"/>
    </row>
    <row r="44" customFormat="false" ht="36" hidden="false" customHeight="true" outlineLevel="0" collapsed="false">
      <c r="B44" s="31" t="s">
        <v>153</v>
      </c>
      <c r="C44" s="32" t="s">
        <v>154</v>
      </c>
      <c r="D44" s="32"/>
      <c r="E44" s="32"/>
      <c r="F44" s="32"/>
      <c r="G44" s="32"/>
      <c r="H44" s="32"/>
    </row>
    <row r="45" customFormat="false" ht="36" hidden="false" customHeight="true" outlineLevel="0" collapsed="false">
      <c r="B45" s="31" t="s">
        <v>155</v>
      </c>
      <c r="C45" s="32" t="s">
        <v>156</v>
      </c>
      <c r="D45" s="32"/>
      <c r="E45" s="32"/>
      <c r="F45" s="32"/>
      <c r="G45" s="32"/>
      <c r="H45" s="32"/>
    </row>
    <row r="46" customFormat="false" ht="36" hidden="false" customHeight="true" outlineLevel="0" collapsed="false">
      <c r="B46" s="31" t="s">
        <v>157</v>
      </c>
      <c r="C46" s="32" t="s">
        <v>199</v>
      </c>
      <c r="D46" s="32"/>
      <c r="E46" s="32"/>
      <c r="F46" s="32"/>
      <c r="G46" s="32"/>
      <c r="H46" s="32"/>
    </row>
    <row r="47" customFormat="false" ht="36" hidden="false" customHeight="true" outlineLevel="0" collapsed="false">
      <c r="B47" s="31" t="s">
        <v>159</v>
      </c>
      <c r="C47" s="32" t="s">
        <v>160</v>
      </c>
      <c r="D47" s="32"/>
      <c r="E47" s="32"/>
      <c r="F47" s="32"/>
      <c r="G47" s="32"/>
      <c r="H47" s="32"/>
    </row>
  </sheetData>
  <mergeCells count="26">
    <mergeCell ref="B2:H2"/>
    <mergeCell ref="B3:H3"/>
    <mergeCell ref="B5:H5"/>
    <mergeCell ref="C6:E6"/>
    <mergeCell ref="C7:E7"/>
    <mergeCell ref="C8:E8"/>
    <mergeCell ref="C9:E9"/>
    <mergeCell ref="C10:E10"/>
    <mergeCell ref="C11:E11"/>
    <mergeCell ref="C12:E12"/>
    <mergeCell ref="C13:E13"/>
    <mergeCell ref="C14:E14"/>
    <mergeCell ref="B16:H16"/>
    <mergeCell ref="B17:H20"/>
    <mergeCell ref="B22:H22"/>
    <mergeCell ref="B31:H31"/>
    <mergeCell ref="B33:H33"/>
    <mergeCell ref="B34:H38"/>
    <mergeCell ref="B40:H40"/>
    <mergeCell ref="C41:H41"/>
    <mergeCell ref="C42:H42"/>
    <mergeCell ref="C43:H43"/>
    <mergeCell ref="C44:H44"/>
    <mergeCell ref="C45:H45"/>
    <mergeCell ref="C46:H46"/>
    <mergeCell ref="C47:H4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H4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22"/>
    <col collapsed="false" customWidth="true" hidden="false" outlineLevel="0" max="8" min="3" style="1" width="14"/>
  </cols>
  <sheetData>
    <row r="2" customFormat="false" ht="24" hidden="false" customHeight="true" outlineLevel="0" collapsed="false">
      <c r="B2" s="21" t="s">
        <v>245</v>
      </c>
      <c r="C2" s="21"/>
      <c r="D2" s="21"/>
      <c r="E2" s="21"/>
      <c r="F2" s="21"/>
      <c r="G2" s="21"/>
      <c r="H2" s="21"/>
    </row>
    <row r="3" customFormat="false" ht="15" hidden="false" customHeight="true" outlineLevel="0" collapsed="false">
      <c r="B3" s="22" t="s">
        <v>246</v>
      </c>
      <c r="C3" s="22"/>
      <c r="D3" s="22"/>
      <c r="E3" s="22"/>
      <c r="F3" s="22"/>
      <c r="G3" s="22"/>
      <c r="H3" s="22"/>
    </row>
    <row r="5" customFormat="false" ht="21.75" hidden="false" customHeight="true" outlineLevel="0" collapsed="false">
      <c r="B5" s="23" t="s">
        <v>117</v>
      </c>
      <c r="C5" s="23"/>
      <c r="D5" s="23"/>
      <c r="E5" s="23"/>
      <c r="F5" s="23"/>
      <c r="G5" s="23"/>
      <c r="H5" s="23"/>
    </row>
    <row r="6" customFormat="false" ht="15" hidden="false" customHeight="true" outlineLevel="0" collapsed="false">
      <c r="B6" s="24" t="s">
        <v>118</v>
      </c>
      <c r="C6" s="25" t="s">
        <v>241</v>
      </c>
      <c r="D6" s="25"/>
      <c r="E6" s="25"/>
    </row>
    <row r="7" customFormat="false" ht="15" hidden="false" customHeight="true" outlineLevel="0" collapsed="false">
      <c r="B7" s="24" t="s">
        <v>120</v>
      </c>
      <c r="C7" s="25" t="s">
        <v>163</v>
      </c>
      <c r="D7" s="25"/>
      <c r="E7" s="25"/>
    </row>
    <row r="8" customFormat="false" ht="15" hidden="false" customHeight="true" outlineLevel="0" collapsed="false">
      <c r="B8" s="24" t="s">
        <v>122</v>
      </c>
      <c r="C8" s="25" t="s">
        <v>123</v>
      </c>
      <c r="D8" s="25"/>
      <c r="E8" s="25"/>
    </row>
    <row r="9" customFormat="false" ht="15" hidden="false" customHeight="true" outlineLevel="0" collapsed="false">
      <c r="B9" s="24" t="s">
        <v>124</v>
      </c>
      <c r="C9" s="25" t="s">
        <v>202</v>
      </c>
      <c r="D9" s="25"/>
      <c r="E9" s="25"/>
    </row>
    <row r="10" customFormat="false" ht="15" hidden="false" customHeight="true" outlineLevel="0" collapsed="false">
      <c r="B10" s="24" t="s">
        <v>126</v>
      </c>
      <c r="C10" s="25" t="s">
        <v>52</v>
      </c>
      <c r="D10" s="25"/>
      <c r="E10" s="25"/>
    </row>
    <row r="11" customFormat="false" ht="15" hidden="false" customHeight="true" outlineLevel="0" collapsed="false">
      <c r="B11" s="24" t="s">
        <v>127</v>
      </c>
      <c r="C11" s="25" t="s">
        <v>194</v>
      </c>
      <c r="D11" s="25"/>
      <c r="E11" s="25"/>
    </row>
    <row r="12" customFormat="false" ht="15" hidden="false" customHeight="true" outlineLevel="0" collapsed="false">
      <c r="B12" s="24" t="s">
        <v>129</v>
      </c>
      <c r="C12" s="25" t="s">
        <v>203</v>
      </c>
      <c r="D12" s="25"/>
      <c r="E12" s="25"/>
    </row>
    <row r="13" customFormat="false" ht="15" hidden="false" customHeight="true" outlineLevel="0" collapsed="false">
      <c r="B13" s="24" t="s">
        <v>131</v>
      </c>
      <c r="C13" s="25" t="s">
        <v>184</v>
      </c>
      <c r="D13" s="25"/>
      <c r="E13" s="25"/>
    </row>
    <row r="14" customFormat="false" ht="15" hidden="false" customHeight="true" outlineLevel="0" collapsed="false">
      <c r="B14" s="24" t="s">
        <v>133</v>
      </c>
      <c r="C14" s="25" t="s">
        <v>185</v>
      </c>
      <c r="D14" s="25"/>
      <c r="E14" s="25"/>
    </row>
    <row r="16" customFormat="false" ht="21.75" hidden="false" customHeight="true" outlineLevel="0" collapsed="false">
      <c r="B16" s="23" t="s">
        <v>135</v>
      </c>
      <c r="C16" s="23"/>
      <c r="D16" s="23"/>
      <c r="E16" s="23"/>
      <c r="F16" s="23"/>
      <c r="G16" s="23"/>
      <c r="H16" s="23"/>
    </row>
    <row r="17" customFormat="false" ht="18" hidden="false" customHeight="true" outlineLevel="0" collapsed="false">
      <c r="B17" s="26" t="s">
        <v>247</v>
      </c>
      <c r="C17" s="26"/>
      <c r="D17" s="26"/>
      <c r="E17" s="26"/>
      <c r="F17" s="26"/>
      <c r="G17" s="26"/>
      <c r="H17" s="26"/>
    </row>
    <row r="18" customFormat="false" ht="18" hidden="false" customHeight="true" outlineLevel="0" collapsed="false">
      <c r="B18" s="26"/>
      <c r="C18" s="26"/>
      <c r="D18" s="26"/>
      <c r="E18" s="26"/>
      <c r="F18" s="26"/>
      <c r="G18" s="26"/>
      <c r="H18" s="26"/>
    </row>
    <row r="19" customFormat="false" ht="18" hidden="false" customHeight="true" outlineLevel="0" collapsed="false">
      <c r="B19" s="26"/>
      <c r="C19" s="26"/>
      <c r="D19" s="26"/>
      <c r="E19" s="26"/>
      <c r="F19" s="26"/>
      <c r="G19" s="26"/>
      <c r="H19" s="26"/>
    </row>
    <row r="20" customFormat="false" ht="18" hidden="false" customHeight="true" outlineLevel="0" collapsed="false">
      <c r="B20" s="26"/>
      <c r="C20" s="26"/>
      <c r="D20" s="26"/>
      <c r="E20" s="26"/>
      <c r="F20" s="26"/>
      <c r="G20" s="26"/>
      <c r="H20" s="26"/>
    </row>
    <row r="22" customFormat="false" ht="21.75" hidden="false" customHeight="true" outlineLevel="0" collapsed="false">
      <c r="B22" s="23" t="s">
        <v>137</v>
      </c>
      <c r="C22" s="23"/>
      <c r="D22" s="23"/>
      <c r="E22" s="23"/>
      <c r="F22" s="23"/>
      <c r="G22" s="23"/>
      <c r="H22" s="23"/>
    </row>
    <row r="23" customFormat="false" ht="30" hidden="false" customHeight="true" outlineLevel="0" collapsed="false">
      <c r="B23" s="27" t="s">
        <v>138</v>
      </c>
      <c r="C23" s="27" t="s">
        <v>139</v>
      </c>
      <c r="D23" s="27" t="s">
        <v>140</v>
      </c>
      <c r="E23" s="27" t="s">
        <v>141</v>
      </c>
      <c r="F23" s="27" t="s">
        <v>142</v>
      </c>
    </row>
    <row r="24" customFormat="false" ht="15" hidden="false" customHeight="true" outlineLevel="0" collapsed="false">
      <c r="B24" s="28" t="n">
        <v>1</v>
      </c>
      <c r="C24" s="28" t="n">
        <v>16</v>
      </c>
      <c r="D24" s="28" t="n">
        <v>1</v>
      </c>
      <c r="E24" s="28" t="n">
        <v>4</v>
      </c>
      <c r="F24" s="28" t="n">
        <v>0</v>
      </c>
    </row>
    <row r="25" customFormat="false" ht="15" hidden="false" customHeight="true" outlineLevel="0" collapsed="false">
      <c r="B25" s="29" t="n">
        <v>2</v>
      </c>
      <c r="C25" s="29" t="n">
        <v>16</v>
      </c>
      <c r="D25" s="29" t="n">
        <v>1</v>
      </c>
      <c r="E25" s="29" t="n">
        <v>4</v>
      </c>
      <c r="F25" s="29" t="n">
        <v>1</v>
      </c>
    </row>
    <row r="26" customFormat="false" ht="15" hidden="false" customHeight="true" outlineLevel="0" collapsed="false">
      <c r="B26" s="28" t="n">
        <v>3</v>
      </c>
      <c r="C26" s="28" t="n">
        <v>16</v>
      </c>
      <c r="D26" s="28" t="n">
        <v>1</v>
      </c>
      <c r="E26" s="28" t="n">
        <v>4</v>
      </c>
      <c r="F26" s="28" t="n">
        <v>2</v>
      </c>
    </row>
    <row r="27" customFormat="false" ht="15" hidden="false" customHeight="true" outlineLevel="0" collapsed="false">
      <c r="B27" s="29" t="n">
        <v>4</v>
      </c>
      <c r="C27" s="29" t="n">
        <v>16</v>
      </c>
      <c r="D27" s="29" t="n">
        <v>1</v>
      </c>
      <c r="E27" s="29" t="n">
        <v>4</v>
      </c>
      <c r="F27" s="29" t="n">
        <v>3</v>
      </c>
    </row>
    <row r="28" customFormat="false" ht="15" hidden="false" customHeight="true" outlineLevel="0" collapsed="false">
      <c r="B28" s="28" t="n">
        <v>5</v>
      </c>
      <c r="C28" s="28" t="n">
        <v>16</v>
      </c>
      <c r="D28" s="28" t="n">
        <v>1</v>
      </c>
      <c r="E28" s="28" t="n">
        <v>4</v>
      </c>
      <c r="F28" s="28" t="n">
        <v>4</v>
      </c>
    </row>
    <row r="29" customFormat="false" ht="15" hidden="false" customHeight="true" outlineLevel="0" collapsed="false">
      <c r="B29" s="29" t="n">
        <v>6</v>
      </c>
      <c r="C29" s="29" t="n">
        <v>16</v>
      </c>
      <c r="D29" s="29" t="n">
        <v>1</v>
      </c>
      <c r="E29" s="29" t="n">
        <v>4</v>
      </c>
      <c r="F29" s="29" t="n">
        <v>5</v>
      </c>
    </row>
    <row r="31" customFormat="false" ht="27.75" hidden="false" customHeight="true" outlineLevel="0" collapsed="false">
      <c r="B31" s="9" t="s">
        <v>205</v>
      </c>
      <c r="C31" s="9"/>
      <c r="D31" s="9"/>
      <c r="E31" s="9"/>
      <c r="F31" s="9"/>
      <c r="G31" s="9"/>
      <c r="H31" s="9"/>
    </row>
    <row r="33" customFormat="false" ht="21.75" hidden="false" customHeight="true" outlineLevel="0" collapsed="false">
      <c r="B33" s="23" t="s">
        <v>144</v>
      </c>
      <c r="C33" s="23"/>
      <c r="D33" s="23"/>
      <c r="E33" s="23"/>
      <c r="F33" s="23"/>
      <c r="G33" s="23"/>
      <c r="H33" s="23"/>
    </row>
    <row r="34" customFormat="false" ht="19.5" hidden="false" customHeight="true" outlineLevel="0" collapsed="false">
      <c r="B34" s="30" t="s">
        <v>223</v>
      </c>
      <c r="C34" s="30"/>
      <c r="D34" s="30"/>
      <c r="E34" s="30"/>
      <c r="F34" s="30"/>
      <c r="G34" s="30"/>
      <c r="H34" s="30"/>
    </row>
    <row r="35" customFormat="false" ht="19.5" hidden="false" customHeight="true" outlineLevel="0" collapsed="false">
      <c r="B35" s="30"/>
      <c r="C35" s="30"/>
      <c r="D35" s="30"/>
      <c r="E35" s="30"/>
      <c r="F35" s="30"/>
      <c r="G35" s="30"/>
      <c r="H35" s="30"/>
    </row>
    <row r="36" customFormat="false" ht="19.5" hidden="false" customHeight="true" outlineLevel="0" collapsed="false">
      <c r="B36" s="30"/>
      <c r="C36" s="30"/>
      <c r="D36" s="30"/>
      <c r="E36" s="30"/>
      <c r="F36" s="30"/>
      <c r="G36" s="30"/>
      <c r="H36" s="30"/>
    </row>
    <row r="37" customFormat="false" ht="19.5" hidden="false" customHeight="true" outlineLevel="0" collapsed="false">
      <c r="B37" s="30"/>
      <c r="C37" s="30"/>
      <c r="D37" s="30"/>
      <c r="E37" s="30"/>
      <c r="F37" s="30"/>
      <c r="G37" s="30"/>
      <c r="H37" s="30"/>
    </row>
    <row r="38" customFormat="false" ht="19.5" hidden="false" customHeight="true" outlineLevel="0" collapsed="false">
      <c r="B38" s="30"/>
      <c r="C38" s="30"/>
      <c r="D38" s="30"/>
      <c r="E38" s="30"/>
      <c r="F38" s="30"/>
      <c r="G38" s="30"/>
      <c r="H38" s="30"/>
    </row>
    <row r="40" customFormat="false" ht="21.75" hidden="false" customHeight="true" outlineLevel="0" collapsed="false">
      <c r="B40" s="23" t="s">
        <v>146</v>
      </c>
      <c r="C40" s="23"/>
      <c r="D40" s="23"/>
      <c r="E40" s="23"/>
      <c r="F40" s="23"/>
      <c r="G40" s="23"/>
      <c r="H40" s="23"/>
    </row>
    <row r="41" customFormat="false" ht="36" hidden="false" customHeight="true" outlineLevel="0" collapsed="false">
      <c r="B41" s="31" t="s">
        <v>147</v>
      </c>
      <c r="C41" s="32" t="s">
        <v>248</v>
      </c>
      <c r="D41" s="32"/>
      <c r="E41" s="32"/>
      <c r="F41" s="32"/>
      <c r="G41" s="32"/>
      <c r="H41" s="32"/>
    </row>
    <row r="42" customFormat="false" ht="36" hidden="false" customHeight="true" outlineLevel="0" collapsed="false">
      <c r="B42" s="31" t="s">
        <v>149</v>
      </c>
      <c r="C42" s="32" t="s">
        <v>244</v>
      </c>
      <c r="D42" s="32"/>
      <c r="E42" s="32"/>
      <c r="F42" s="32"/>
      <c r="G42" s="32"/>
      <c r="H42" s="32"/>
    </row>
    <row r="43" customFormat="false" ht="36" hidden="false" customHeight="true" outlineLevel="0" collapsed="false">
      <c r="B43" s="31" t="s">
        <v>151</v>
      </c>
      <c r="C43" s="32" t="s">
        <v>226</v>
      </c>
      <c r="D43" s="32"/>
      <c r="E43" s="32"/>
      <c r="F43" s="32"/>
      <c r="G43" s="32"/>
      <c r="H43" s="32"/>
    </row>
    <row r="44" customFormat="false" ht="36" hidden="false" customHeight="true" outlineLevel="0" collapsed="false">
      <c r="B44" s="31" t="s">
        <v>153</v>
      </c>
      <c r="C44" s="32" t="s">
        <v>154</v>
      </c>
      <c r="D44" s="32"/>
      <c r="E44" s="32"/>
      <c r="F44" s="32"/>
      <c r="G44" s="32"/>
      <c r="H44" s="32"/>
    </row>
    <row r="45" customFormat="false" ht="36" hidden="false" customHeight="true" outlineLevel="0" collapsed="false">
      <c r="B45" s="31" t="s">
        <v>155</v>
      </c>
      <c r="C45" s="32" t="s">
        <v>156</v>
      </c>
      <c r="D45" s="32"/>
      <c r="E45" s="32"/>
      <c r="F45" s="32"/>
      <c r="G45" s="32"/>
      <c r="H45" s="32"/>
    </row>
    <row r="46" customFormat="false" ht="36" hidden="false" customHeight="true" outlineLevel="0" collapsed="false">
      <c r="B46" s="31" t="s">
        <v>157</v>
      </c>
      <c r="C46" s="32" t="s">
        <v>199</v>
      </c>
      <c r="D46" s="32"/>
      <c r="E46" s="32"/>
      <c r="F46" s="32"/>
      <c r="G46" s="32"/>
      <c r="H46" s="32"/>
    </row>
    <row r="47" customFormat="false" ht="36" hidden="false" customHeight="true" outlineLevel="0" collapsed="false">
      <c r="B47" s="31" t="s">
        <v>159</v>
      </c>
      <c r="C47" s="32" t="s">
        <v>160</v>
      </c>
      <c r="D47" s="32"/>
      <c r="E47" s="32"/>
      <c r="F47" s="32"/>
      <c r="G47" s="32"/>
      <c r="H47" s="32"/>
    </row>
  </sheetData>
  <mergeCells count="26">
    <mergeCell ref="B2:H2"/>
    <mergeCell ref="B3:H3"/>
    <mergeCell ref="B5:H5"/>
    <mergeCell ref="C6:E6"/>
    <mergeCell ref="C7:E7"/>
    <mergeCell ref="C8:E8"/>
    <mergeCell ref="C9:E9"/>
    <mergeCell ref="C10:E10"/>
    <mergeCell ref="C11:E11"/>
    <mergeCell ref="C12:E12"/>
    <mergeCell ref="C13:E13"/>
    <mergeCell ref="C14:E14"/>
    <mergeCell ref="B16:H16"/>
    <mergeCell ref="B17:H20"/>
    <mergeCell ref="B22:H22"/>
    <mergeCell ref="B31:H31"/>
    <mergeCell ref="B33:H33"/>
    <mergeCell ref="B34:H38"/>
    <mergeCell ref="B40:H40"/>
    <mergeCell ref="C41:H41"/>
    <mergeCell ref="C42:H42"/>
    <mergeCell ref="C43:H43"/>
    <mergeCell ref="C44:H44"/>
    <mergeCell ref="C45:H45"/>
    <mergeCell ref="C46:H46"/>
    <mergeCell ref="C47:H4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H4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22"/>
    <col collapsed="false" customWidth="true" hidden="false" outlineLevel="0" max="8" min="3" style="1" width="14"/>
  </cols>
  <sheetData>
    <row r="2" customFormat="false" ht="24" hidden="false" customHeight="true" outlineLevel="0" collapsed="false">
      <c r="B2" s="21" t="s">
        <v>249</v>
      </c>
      <c r="C2" s="21"/>
      <c r="D2" s="21"/>
      <c r="E2" s="21"/>
      <c r="F2" s="21"/>
      <c r="G2" s="21"/>
      <c r="H2" s="21"/>
    </row>
    <row r="3" customFormat="false" ht="15" hidden="false" customHeight="true" outlineLevel="0" collapsed="false">
      <c r="B3" s="22" t="s">
        <v>250</v>
      </c>
      <c r="C3" s="22"/>
      <c r="D3" s="22"/>
      <c r="E3" s="22"/>
      <c r="F3" s="22"/>
      <c r="G3" s="22"/>
      <c r="H3" s="22"/>
    </row>
    <row r="5" customFormat="false" ht="21.75" hidden="false" customHeight="true" outlineLevel="0" collapsed="false">
      <c r="B5" s="23" t="s">
        <v>117</v>
      </c>
      <c r="C5" s="23"/>
      <c r="D5" s="23"/>
      <c r="E5" s="23"/>
      <c r="F5" s="23"/>
      <c r="G5" s="23"/>
      <c r="H5" s="23"/>
    </row>
    <row r="6" customFormat="false" ht="15" hidden="false" customHeight="true" outlineLevel="0" collapsed="false">
      <c r="B6" s="24" t="s">
        <v>118</v>
      </c>
      <c r="C6" s="25" t="s">
        <v>241</v>
      </c>
      <c r="D6" s="25"/>
      <c r="E6" s="25"/>
    </row>
    <row r="7" customFormat="false" ht="15" hidden="false" customHeight="true" outlineLevel="0" collapsed="false">
      <c r="B7" s="24" t="s">
        <v>120</v>
      </c>
      <c r="C7" s="25" t="s">
        <v>176</v>
      </c>
      <c r="D7" s="25"/>
      <c r="E7" s="25"/>
    </row>
    <row r="8" customFormat="false" ht="15" hidden="false" customHeight="true" outlineLevel="0" collapsed="false">
      <c r="B8" s="24" t="s">
        <v>122</v>
      </c>
      <c r="C8" s="25" t="s">
        <v>123</v>
      </c>
      <c r="D8" s="25"/>
      <c r="E8" s="25"/>
    </row>
    <row r="9" customFormat="false" ht="15" hidden="false" customHeight="true" outlineLevel="0" collapsed="false">
      <c r="B9" s="24" t="s">
        <v>124</v>
      </c>
      <c r="C9" s="25" t="s">
        <v>202</v>
      </c>
      <c r="D9" s="25"/>
      <c r="E9" s="25"/>
    </row>
    <row r="10" customFormat="false" ht="15" hidden="false" customHeight="true" outlineLevel="0" collapsed="false">
      <c r="B10" s="24" t="s">
        <v>126</v>
      </c>
      <c r="C10" s="25" t="s">
        <v>52</v>
      </c>
      <c r="D10" s="25"/>
      <c r="E10" s="25"/>
    </row>
    <row r="11" customFormat="false" ht="15" hidden="false" customHeight="true" outlineLevel="0" collapsed="false">
      <c r="B11" s="24" t="s">
        <v>127</v>
      </c>
      <c r="C11" s="25" t="s">
        <v>194</v>
      </c>
      <c r="D11" s="25"/>
      <c r="E11" s="25"/>
    </row>
    <row r="12" customFormat="false" ht="15" hidden="false" customHeight="true" outlineLevel="0" collapsed="false">
      <c r="B12" s="24" t="s">
        <v>129</v>
      </c>
      <c r="C12" s="25" t="s">
        <v>203</v>
      </c>
      <c r="D12" s="25"/>
      <c r="E12" s="25"/>
    </row>
    <row r="13" customFormat="false" ht="15" hidden="false" customHeight="true" outlineLevel="0" collapsed="false">
      <c r="B13" s="24" t="s">
        <v>131</v>
      </c>
      <c r="C13" s="25" t="s">
        <v>184</v>
      </c>
      <c r="D13" s="25"/>
      <c r="E13" s="25"/>
    </row>
    <row r="14" customFormat="false" ht="15" hidden="false" customHeight="true" outlineLevel="0" collapsed="false">
      <c r="B14" s="24" t="s">
        <v>133</v>
      </c>
      <c r="C14" s="25" t="s">
        <v>185</v>
      </c>
      <c r="D14" s="25"/>
      <c r="E14" s="25"/>
    </row>
    <row r="16" customFormat="false" ht="21.75" hidden="false" customHeight="true" outlineLevel="0" collapsed="false">
      <c r="B16" s="23" t="s">
        <v>135</v>
      </c>
      <c r="C16" s="23"/>
      <c r="D16" s="23"/>
      <c r="E16" s="23"/>
      <c r="F16" s="23"/>
      <c r="G16" s="23"/>
      <c r="H16" s="23"/>
    </row>
    <row r="17" customFormat="false" ht="18" hidden="false" customHeight="true" outlineLevel="0" collapsed="false">
      <c r="B17" s="26" t="s">
        <v>251</v>
      </c>
      <c r="C17" s="26"/>
      <c r="D17" s="26"/>
      <c r="E17" s="26"/>
      <c r="F17" s="26"/>
      <c r="G17" s="26"/>
      <c r="H17" s="26"/>
    </row>
    <row r="18" customFormat="false" ht="18" hidden="false" customHeight="true" outlineLevel="0" collapsed="false">
      <c r="B18" s="26"/>
      <c r="C18" s="26"/>
      <c r="D18" s="26"/>
      <c r="E18" s="26"/>
      <c r="F18" s="26"/>
      <c r="G18" s="26"/>
      <c r="H18" s="26"/>
    </row>
    <row r="19" customFormat="false" ht="18" hidden="false" customHeight="true" outlineLevel="0" collapsed="false">
      <c r="B19" s="26"/>
      <c r="C19" s="26"/>
      <c r="D19" s="26"/>
      <c r="E19" s="26"/>
      <c r="F19" s="26"/>
      <c r="G19" s="26"/>
      <c r="H19" s="26"/>
    </row>
    <row r="20" customFormat="false" ht="18" hidden="false" customHeight="true" outlineLevel="0" collapsed="false">
      <c r="B20" s="26"/>
      <c r="C20" s="26"/>
      <c r="D20" s="26"/>
      <c r="E20" s="26"/>
      <c r="F20" s="26"/>
      <c r="G20" s="26"/>
      <c r="H20" s="26"/>
    </row>
    <row r="22" customFormat="false" ht="21.75" hidden="false" customHeight="true" outlineLevel="0" collapsed="false">
      <c r="B22" s="23" t="s">
        <v>137</v>
      </c>
      <c r="C22" s="23"/>
      <c r="D22" s="23"/>
      <c r="E22" s="23"/>
      <c r="F22" s="23"/>
      <c r="G22" s="23"/>
      <c r="H22" s="23"/>
    </row>
    <row r="23" customFormat="false" ht="30" hidden="false" customHeight="true" outlineLevel="0" collapsed="false">
      <c r="B23" s="27" t="s">
        <v>138</v>
      </c>
      <c r="C23" s="27" t="s">
        <v>139</v>
      </c>
      <c r="D23" s="27" t="s">
        <v>140</v>
      </c>
      <c r="E23" s="27" t="s">
        <v>141</v>
      </c>
      <c r="F23" s="27" t="s">
        <v>142</v>
      </c>
    </row>
    <row r="24" customFormat="false" ht="15" hidden="false" customHeight="true" outlineLevel="0" collapsed="false">
      <c r="B24" s="28" t="n">
        <v>1</v>
      </c>
      <c r="C24" s="28" t="n">
        <v>16</v>
      </c>
      <c r="D24" s="28" t="n">
        <v>2</v>
      </c>
      <c r="E24" s="28" t="n">
        <v>4</v>
      </c>
      <c r="F24" s="28" t="n">
        <v>0</v>
      </c>
    </row>
    <row r="25" customFormat="false" ht="15" hidden="false" customHeight="true" outlineLevel="0" collapsed="false">
      <c r="B25" s="29" t="n">
        <v>2</v>
      </c>
      <c r="C25" s="29" t="n">
        <v>16</v>
      </c>
      <c r="D25" s="29" t="n">
        <v>2</v>
      </c>
      <c r="E25" s="29" t="n">
        <v>4</v>
      </c>
      <c r="F25" s="29" t="n">
        <v>1</v>
      </c>
    </row>
    <row r="26" customFormat="false" ht="15" hidden="false" customHeight="true" outlineLevel="0" collapsed="false">
      <c r="B26" s="28" t="n">
        <v>3</v>
      </c>
      <c r="C26" s="28" t="n">
        <v>16</v>
      </c>
      <c r="D26" s="28" t="n">
        <v>2</v>
      </c>
      <c r="E26" s="28" t="n">
        <v>4</v>
      </c>
      <c r="F26" s="28" t="n">
        <v>2</v>
      </c>
    </row>
    <row r="27" customFormat="false" ht="15" hidden="false" customHeight="true" outlineLevel="0" collapsed="false">
      <c r="B27" s="29" t="n">
        <v>4</v>
      </c>
      <c r="C27" s="29" t="n">
        <v>16</v>
      </c>
      <c r="D27" s="29" t="n">
        <v>2</v>
      </c>
      <c r="E27" s="29" t="n">
        <v>4</v>
      </c>
      <c r="F27" s="29" t="n">
        <v>3</v>
      </c>
    </row>
    <row r="28" customFormat="false" ht="15" hidden="false" customHeight="true" outlineLevel="0" collapsed="false">
      <c r="B28" s="28" t="n">
        <v>5</v>
      </c>
      <c r="C28" s="28" t="n">
        <v>16</v>
      </c>
      <c r="D28" s="28" t="n">
        <v>2</v>
      </c>
      <c r="E28" s="28" t="n">
        <v>4</v>
      </c>
      <c r="F28" s="28" t="n">
        <v>4</v>
      </c>
    </row>
    <row r="29" customFormat="false" ht="15" hidden="false" customHeight="true" outlineLevel="0" collapsed="false">
      <c r="B29" s="29" t="n">
        <v>6</v>
      </c>
      <c r="C29" s="29" t="n">
        <v>16</v>
      </c>
      <c r="D29" s="29" t="n">
        <v>2</v>
      </c>
      <c r="E29" s="29" t="n">
        <v>4</v>
      </c>
      <c r="F29" s="29" t="n">
        <v>5</v>
      </c>
    </row>
    <row r="31" customFormat="false" ht="27.75" hidden="false" customHeight="true" outlineLevel="0" collapsed="false">
      <c r="B31" s="9" t="s">
        <v>205</v>
      </c>
      <c r="C31" s="9"/>
      <c r="D31" s="9"/>
      <c r="E31" s="9"/>
      <c r="F31" s="9"/>
      <c r="G31" s="9"/>
      <c r="H31" s="9"/>
    </row>
    <row r="33" customFormat="false" ht="21.75" hidden="false" customHeight="true" outlineLevel="0" collapsed="false">
      <c r="B33" s="23" t="s">
        <v>144</v>
      </c>
      <c r="C33" s="23"/>
      <c r="D33" s="23"/>
      <c r="E33" s="23"/>
      <c r="F33" s="23"/>
      <c r="G33" s="23"/>
      <c r="H33" s="23"/>
    </row>
    <row r="34" customFormat="false" ht="19.5" hidden="false" customHeight="true" outlineLevel="0" collapsed="false">
      <c r="B34" s="30" t="s">
        <v>223</v>
      </c>
      <c r="C34" s="30"/>
      <c r="D34" s="30"/>
      <c r="E34" s="30"/>
      <c r="F34" s="30"/>
      <c r="G34" s="30"/>
      <c r="H34" s="30"/>
    </row>
    <row r="35" customFormat="false" ht="19.5" hidden="false" customHeight="true" outlineLevel="0" collapsed="false">
      <c r="B35" s="30"/>
      <c r="C35" s="30"/>
      <c r="D35" s="30"/>
      <c r="E35" s="30"/>
      <c r="F35" s="30"/>
      <c r="G35" s="30"/>
      <c r="H35" s="30"/>
    </row>
    <row r="36" customFormat="false" ht="19.5" hidden="false" customHeight="true" outlineLevel="0" collapsed="false">
      <c r="B36" s="30"/>
      <c r="C36" s="30"/>
      <c r="D36" s="30"/>
      <c r="E36" s="30"/>
      <c r="F36" s="30"/>
      <c r="G36" s="30"/>
      <c r="H36" s="30"/>
    </row>
    <row r="37" customFormat="false" ht="19.5" hidden="false" customHeight="true" outlineLevel="0" collapsed="false">
      <c r="B37" s="30"/>
      <c r="C37" s="30"/>
      <c r="D37" s="30"/>
      <c r="E37" s="30"/>
      <c r="F37" s="30"/>
      <c r="G37" s="30"/>
      <c r="H37" s="30"/>
    </row>
    <row r="38" customFormat="false" ht="19.5" hidden="false" customHeight="true" outlineLevel="0" collapsed="false">
      <c r="B38" s="30"/>
      <c r="C38" s="30"/>
      <c r="D38" s="30"/>
      <c r="E38" s="30"/>
      <c r="F38" s="30"/>
      <c r="G38" s="30"/>
      <c r="H38" s="30"/>
    </row>
    <row r="40" customFormat="false" ht="21.75" hidden="false" customHeight="true" outlineLevel="0" collapsed="false">
      <c r="B40" s="23" t="s">
        <v>146</v>
      </c>
      <c r="C40" s="23"/>
      <c r="D40" s="23"/>
      <c r="E40" s="23"/>
      <c r="F40" s="23"/>
      <c r="G40" s="23"/>
      <c r="H40" s="23"/>
    </row>
    <row r="41" customFormat="false" ht="36" hidden="false" customHeight="true" outlineLevel="0" collapsed="false">
      <c r="B41" s="31" t="s">
        <v>147</v>
      </c>
      <c r="C41" s="32" t="s">
        <v>252</v>
      </c>
      <c r="D41" s="32"/>
      <c r="E41" s="32"/>
      <c r="F41" s="32"/>
      <c r="G41" s="32"/>
      <c r="H41" s="32"/>
    </row>
    <row r="42" customFormat="false" ht="36" hidden="false" customHeight="true" outlineLevel="0" collapsed="false">
      <c r="B42" s="31" t="s">
        <v>149</v>
      </c>
      <c r="C42" s="32" t="s">
        <v>244</v>
      </c>
      <c r="D42" s="32"/>
      <c r="E42" s="32"/>
      <c r="F42" s="32"/>
      <c r="G42" s="32"/>
      <c r="H42" s="32"/>
    </row>
    <row r="43" customFormat="false" ht="36" hidden="false" customHeight="true" outlineLevel="0" collapsed="false">
      <c r="B43" s="31" t="s">
        <v>151</v>
      </c>
      <c r="C43" s="32" t="s">
        <v>226</v>
      </c>
      <c r="D43" s="32"/>
      <c r="E43" s="32"/>
      <c r="F43" s="32"/>
      <c r="G43" s="32"/>
      <c r="H43" s="32"/>
    </row>
    <row r="44" customFormat="false" ht="36" hidden="false" customHeight="true" outlineLevel="0" collapsed="false">
      <c r="B44" s="31" t="s">
        <v>153</v>
      </c>
      <c r="C44" s="32" t="s">
        <v>154</v>
      </c>
      <c r="D44" s="32"/>
      <c r="E44" s="32"/>
      <c r="F44" s="32"/>
      <c r="G44" s="32"/>
      <c r="H44" s="32"/>
    </row>
    <row r="45" customFormat="false" ht="36" hidden="false" customHeight="true" outlineLevel="0" collapsed="false">
      <c r="B45" s="31" t="s">
        <v>155</v>
      </c>
      <c r="C45" s="32" t="s">
        <v>156</v>
      </c>
      <c r="D45" s="32"/>
      <c r="E45" s="32"/>
      <c r="F45" s="32"/>
      <c r="G45" s="32"/>
      <c r="H45" s="32"/>
    </row>
    <row r="46" customFormat="false" ht="36" hidden="false" customHeight="true" outlineLevel="0" collapsed="false">
      <c r="B46" s="31" t="s">
        <v>157</v>
      </c>
      <c r="C46" s="32" t="s">
        <v>199</v>
      </c>
      <c r="D46" s="32"/>
      <c r="E46" s="32"/>
      <c r="F46" s="32"/>
      <c r="G46" s="32"/>
      <c r="H46" s="32"/>
    </row>
    <row r="47" customFormat="false" ht="36" hidden="false" customHeight="true" outlineLevel="0" collapsed="false">
      <c r="B47" s="31" t="s">
        <v>159</v>
      </c>
      <c r="C47" s="32" t="s">
        <v>160</v>
      </c>
      <c r="D47" s="32"/>
      <c r="E47" s="32"/>
      <c r="F47" s="32"/>
      <c r="G47" s="32"/>
      <c r="H47" s="32"/>
    </row>
  </sheetData>
  <mergeCells count="26">
    <mergeCell ref="B2:H2"/>
    <mergeCell ref="B3:H3"/>
    <mergeCell ref="B5:H5"/>
    <mergeCell ref="C6:E6"/>
    <mergeCell ref="C7:E7"/>
    <mergeCell ref="C8:E8"/>
    <mergeCell ref="C9:E9"/>
    <mergeCell ref="C10:E10"/>
    <mergeCell ref="C11:E11"/>
    <mergeCell ref="C12:E12"/>
    <mergeCell ref="C13:E13"/>
    <mergeCell ref="C14:E14"/>
    <mergeCell ref="B16:H16"/>
    <mergeCell ref="B17:H20"/>
    <mergeCell ref="B22:H22"/>
    <mergeCell ref="B31:H31"/>
    <mergeCell ref="B33:H33"/>
    <mergeCell ref="B34:H38"/>
    <mergeCell ref="B40:H40"/>
    <mergeCell ref="C41:H41"/>
    <mergeCell ref="C42:H42"/>
    <mergeCell ref="C43:H43"/>
    <mergeCell ref="C44:H44"/>
    <mergeCell ref="C45:H45"/>
    <mergeCell ref="C46:H46"/>
    <mergeCell ref="C47:H4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H5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22"/>
    <col collapsed="false" customWidth="true" hidden="false" outlineLevel="0" max="8" min="3" style="1" width="14"/>
  </cols>
  <sheetData>
    <row r="2" customFormat="false" ht="24" hidden="false" customHeight="true" outlineLevel="0" collapsed="false">
      <c r="B2" s="21" t="s">
        <v>253</v>
      </c>
      <c r="C2" s="21"/>
      <c r="D2" s="21"/>
      <c r="E2" s="21"/>
      <c r="F2" s="21"/>
      <c r="G2" s="21"/>
      <c r="H2" s="21"/>
    </row>
    <row r="3" customFormat="false" ht="15" hidden="false" customHeight="true" outlineLevel="0" collapsed="false">
      <c r="B3" s="22" t="s">
        <v>254</v>
      </c>
      <c r="C3" s="22"/>
      <c r="D3" s="22"/>
      <c r="E3" s="22"/>
      <c r="F3" s="22"/>
      <c r="G3" s="22"/>
      <c r="H3" s="22"/>
    </row>
    <row r="5" customFormat="false" ht="21.75" hidden="false" customHeight="true" outlineLevel="0" collapsed="false">
      <c r="B5" s="23" t="s">
        <v>117</v>
      </c>
      <c r="C5" s="23"/>
      <c r="D5" s="23"/>
      <c r="E5" s="23"/>
      <c r="F5" s="23"/>
      <c r="G5" s="23"/>
      <c r="H5" s="23"/>
    </row>
    <row r="6" customFormat="false" ht="15" hidden="false" customHeight="true" outlineLevel="0" collapsed="false">
      <c r="B6" s="24" t="s">
        <v>255</v>
      </c>
      <c r="C6" s="25" t="s">
        <v>256</v>
      </c>
      <c r="D6" s="25"/>
      <c r="E6" s="25"/>
      <c r="F6" s="25"/>
      <c r="G6" s="25"/>
      <c r="H6" s="25"/>
    </row>
    <row r="7" customFormat="false" ht="15" hidden="false" customHeight="true" outlineLevel="0" collapsed="false">
      <c r="B7" s="24" t="s">
        <v>118</v>
      </c>
      <c r="C7" s="25" t="s">
        <v>119</v>
      </c>
      <c r="D7" s="25"/>
      <c r="E7" s="25"/>
      <c r="F7" s="25"/>
      <c r="G7" s="25"/>
      <c r="H7" s="25"/>
    </row>
    <row r="8" customFormat="false" ht="15" hidden="false" customHeight="true" outlineLevel="0" collapsed="false">
      <c r="B8" s="24" t="s">
        <v>257</v>
      </c>
      <c r="C8" s="25" t="s">
        <v>258</v>
      </c>
      <c r="D8" s="25"/>
      <c r="E8" s="25"/>
      <c r="F8" s="25"/>
      <c r="G8" s="25"/>
      <c r="H8" s="25"/>
    </row>
    <row r="9" customFormat="false" ht="15" hidden="false" customHeight="true" outlineLevel="0" collapsed="false">
      <c r="B9" s="24" t="s">
        <v>122</v>
      </c>
      <c r="C9" s="25" t="s">
        <v>123</v>
      </c>
      <c r="D9" s="25"/>
      <c r="E9" s="25"/>
      <c r="F9" s="25"/>
      <c r="G9" s="25"/>
      <c r="H9" s="25"/>
    </row>
    <row r="10" customFormat="false" ht="15" hidden="false" customHeight="true" outlineLevel="0" collapsed="false">
      <c r="B10" s="24" t="s">
        <v>259</v>
      </c>
      <c r="C10" s="25" t="s">
        <v>165</v>
      </c>
      <c r="D10" s="25"/>
      <c r="E10" s="25"/>
      <c r="F10" s="25"/>
      <c r="G10" s="25"/>
      <c r="H10" s="25"/>
    </row>
    <row r="11" customFormat="false" ht="15" hidden="false" customHeight="true" outlineLevel="0" collapsed="false">
      <c r="B11" s="24" t="s">
        <v>126</v>
      </c>
      <c r="C11" s="25" t="s">
        <v>55</v>
      </c>
      <c r="D11" s="25"/>
      <c r="E11" s="25"/>
      <c r="F11" s="25"/>
      <c r="G11" s="25"/>
      <c r="H11" s="25"/>
    </row>
    <row r="12" customFormat="false" ht="15" hidden="false" customHeight="true" outlineLevel="0" collapsed="false">
      <c r="B12" s="24" t="s">
        <v>127</v>
      </c>
      <c r="C12" s="25" t="s">
        <v>260</v>
      </c>
      <c r="D12" s="25"/>
      <c r="E12" s="25"/>
      <c r="F12" s="25"/>
      <c r="G12" s="25"/>
      <c r="H12" s="25"/>
    </row>
    <row r="13" customFormat="false" ht="15" hidden="false" customHeight="true" outlineLevel="0" collapsed="false">
      <c r="B13" s="24" t="s">
        <v>131</v>
      </c>
      <c r="C13" s="25" t="s">
        <v>132</v>
      </c>
      <c r="D13" s="25"/>
      <c r="E13" s="25"/>
      <c r="F13" s="25"/>
      <c r="G13" s="25"/>
      <c r="H13" s="25"/>
    </row>
    <row r="14" customFormat="false" ht="15" hidden="false" customHeight="true" outlineLevel="0" collapsed="false">
      <c r="B14" s="24" t="s">
        <v>261</v>
      </c>
      <c r="C14" s="25" t="s">
        <v>166</v>
      </c>
      <c r="D14" s="25"/>
      <c r="E14" s="25"/>
      <c r="F14" s="25"/>
      <c r="G14" s="25"/>
      <c r="H14" s="25"/>
    </row>
    <row r="15" customFormat="false" ht="15" hidden="false" customHeight="true" outlineLevel="0" collapsed="false">
      <c r="B15" s="24" t="s">
        <v>129</v>
      </c>
      <c r="C15" s="25" t="s">
        <v>262</v>
      </c>
      <c r="D15" s="25"/>
      <c r="E15" s="25"/>
      <c r="F15" s="25"/>
      <c r="G15" s="25"/>
      <c r="H15" s="25"/>
    </row>
    <row r="16" customFormat="false" ht="15" hidden="false" customHeight="true" outlineLevel="0" collapsed="false">
      <c r="B16" s="24" t="s">
        <v>133</v>
      </c>
      <c r="C16" s="25" t="s">
        <v>134</v>
      </c>
      <c r="D16" s="25"/>
      <c r="E16" s="25"/>
      <c r="F16" s="25"/>
      <c r="G16" s="25"/>
      <c r="H16" s="25"/>
    </row>
    <row r="18" customFormat="false" ht="21.75" hidden="false" customHeight="true" outlineLevel="0" collapsed="false">
      <c r="B18" s="23" t="s">
        <v>135</v>
      </c>
      <c r="C18" s="23"/>
      <c r="D18" s="23"/>
      <c r="E18" s="23"/>
      <c r="F18" s="23"/>
      <c r="G18" s="23"/>
      <c r="H18" s="23"/>
    </row>
    <row r="19" customFormat="false" ht="19.5" hidden="false" customHeight="true" outlineLevel="0" collapsed="false">
      <c r="B19" s="33" t="s">
        <v>263</v>
      </c>
      <c r="C19" s="33"/>
      <c r="D19" s="33"/>
      <c r="E19" s="33"/>
      <c r="F19" s="33"/>
      <c r="G19" s="33"/>
      <c r="H19" s="33"/>
    </row>
    <row r="20" customFormat="false" ht="19.5" hidden="false" customHeight="true" outlineLevel="0" collapsed="false">
      <c r="B20" s="33"/>
      <c r="C20" s="33"/>
      <c r="D20" s="33"/>
      <c r="E20" s="33"/>
      <c r="F20" s="33"/>
      <c r="G20" s="33"/>
      <c r="H20" s="33"/>
    </row>
    <row r="21" customFormat="false" ht="19.5" hidden="false" customHeight="true" outlineLevel="0" collapsed="false">
      <c r="B21" s="33"/>
      <c r="C21" s="33"/>
      <c r="D21" s="33"/>
      <c r="E21" s="33"/>
      <c r="F21" s="33"/>
      <c r="G21" s="33"/>
      <c r="H21" s="33"/>
    </row>
    <row r="22" customFormat="false" ht="19.5" hidden="false" customHeight="true" outlineLevel="0" collapsed="false">
      <c r="B22" s="33"/>
      <c r="C22" s="33"/>
      <c r="D22" s="33"/>
      <c r="E22" s="33"/>
      <c r="F22" s="33"/>
      <c r="G22" s="33"/>
      <c r="H22" s="33"/>
    </row>
    <row r="23" customFormat="false" ht="19.5" hidden="false" customHeight="true" outlineLevel="0" collapsed="false">
      <c r="B23" s="33"/>
      <c r="C23" s="33"/>
      <c r="D23" s="33"/>
      <c r="E23" s="33"/>
      <c r="F23" s="33"/>
      <c r="G23" s="33"/>
      <c r="H23" s="33"/>
    </row>
    <row r="25" customFormat="false" ht="21.75" hidden="false" customHeight="true" outlineLevel="0" collapsed="false">
      <c r="B25" s="23" t="s">
        <v>137</v>
      </c>
      <c r="C25" s="23"/>
      <c r="D25" s="23"/>
      <c r="E25" s="23"/>
      <c r="F25" s="23"/>
      <c r="G25" s="23"/>
      <c r="H25" s="23"/>
    </row>
    <row r="26" customFormat="false" ht="30" hidden="false" customHeight="true" outlineLevel="0" collapsed="false">
      <c r="B26" s="27" t="s">
        <v>138</v>
      </c>
      <c r="C26" s="27" t="s">
        <v>264</v>
      </c>
      <c r="D26" s="27" t="s">
        <v>265</v>
      </c>
      <c r="E26" s="27" t="s">
        <v>141</v>
      </c>
      <c r="F26" s="27" t="s">
        <v>266</v>
      </c>
    </row>
    <row r="27" customFormat="false" ht="15" hidden="false" customHeight="true" outlineLevel="0" collapsed="false">
      <c r="B27" s="34" t="s">
        <v>267</v>
      </c>
      <c r="C27" s="34" t="n">
        <v>2</v>
      </c>
      <c r="D27" s="34" t="n">
        <v>1</v>
      </c>
      <c r="E27" s="34" t="n">
        <v>1</v>
      </c>
      <c r="F27" s="34" t="n">
        <v>1</v>
      </c>
    </row>
    <row r="28" customFormat="false" ht="15" hidden="false" customHeight="true" outlineLevel="0" collapsed="false">
      <c r="B28" s="29" t="s">
        <v>268</v>
      </c>
      <c r="C28" s="29" t="n">
        <v>2</v>
      </c>
      <c r="D28" s="29" t="n">
        <v>1</v>
      </c>
      <c r="E28" s="29" t="n">
        <v>1</v>
      </c>
      <c r="F28" s="29" t="n">
        <v>2</v>
      </c>
    </row>
    <row r="29" customFormat="false" ht="15" hidden="false" customHeight="true" outlineLevel="0" collapsed="false">
      <c r="B29" s="34" t="s">
        <v>269</v>
      </c>
      <c r="C29" s="34" t="n">
        <v>2</v>
      </c>
      <c r="D29" s="34" t="n">
        <v>1</v>
      </c>
      <c r="E29" s="34" t="n">
        <v>1</v>
      </c>
      <c r="F29" s="34" t="n">
        <v>3</v>
      </c>
    </row>
    <row r="30" customFormat="false" ht="15" hidden="false" customHeight="true" outlineLevel="0" collapsed="false">
      <c r="B30" s="29" t="s">
        <v>270</v>
      </c>
      <c r="C30" s="29" t="n">
        <v>2</v>
      </c>
      <c r="D30" s="29" t="n">
        <v>1</v>
      </c>
      <c r="E30" s="29" t="n">
        <v>1</v>
      </c>
      <c r="F30" s="29" t="n">
        <v>4</v>
      </c>
    </row>
    <row r="31" customFormat="false" ht="15" hidden="false" customHeight="true" outlineLevel="0" collapsed="false">
      <c r="B31" s="34" t="s">
        <v>271</v>
      </c>
      <c r="C31" s="34" t="n">
        <v>2</v>
      </c>
      <c r="D31" s="34" t="n">
        <v>1</v>
      </c>
      <c r="E31" s="34" t="n">
        <v>1</v>
      </c>
      <c r="F31" s="34" t="n">
        <v>4</v>
      </c>
    </row>
    <row r="32" customFormat="false" ht="15" hidden="false" customHeight="true" outlineLevel="0" collapsed="false">
      <c r="B32" s="29" t="s">
        <v>272</v>
      </c>
      <c r="C32" s="29" t="n">
        <v>2</v>
      </c>
      <c r="D32" s="29" t="n">
        <v>1</v>
      </c>
      <c r="E32" s="29" t="n">
        <v>1</v>
      </c>
      <c r="F32" s="29" t="n">
        <v>4</v>
      </c>
    </row>
    <row r="33" customFormat="false" ht="15" hidden="false" customHeight="true" outlineLevel="0" collapsed="false">
      <c r="B33" s="35" t="s">
        <v>43</v>
      </c>
      <c r="C33" s="35" t="n">
        <v>2</v>
      </c>
      <c r="D33" s="35" t="n">
        <v>0</v>
      </c>
      <c r="E33" s="35" t="n">
        <v>1</v>
      </c>
      <c r="F33" s="35" t="s">
        <v>42</v>
      </c>
    </row>
    <row r="35" customFormat="false" ht="30" hidden="false" customHeight="true" outlineLevel="0" collapsed="false">
      <c r="B35" s="9" t="s">
        <v>273</v>
      </c>
      <c r="C35" s="9"/>
      <c r="D35" s="9"/>
      <c r="E35" s="9"/>
      <c r="F35" s="9"/>
      <c r="G35" s="9"/>
      <c r="H35" s="9"/>
    </row>
    <row r="37" customFormat="false" ht="21.75" hidden="false" customHeight="true" outlineLevel="0" collapsed="false">
      <c r="B37" s="23" t="s">
        <v>144</v>
      </c>
      <c r="C37" s="23"/>
      <c r="D37" s="23"/>
      <c r="E37" s="23"/>
      <c r="F37" s="23"/>
      <c r="G37" s="23"/>
      <c r="H37" s="23"/>
    </row>
    <row r="38" customFormat="false" ht="19.5" hidden="false" customHeight="true" outlineLevel="0" collapsed="false">
      <c r="B38" s="30" t="s">
        <v>274</v>
      </c>
      <c r="C38" s="30"/>
      <c r="D38" s="30"/>
      <c r="E38" s="30"/>
      <c r="F38" s="30"/>
      <c r="G38" s="30"/>
      <c r="H38" s="30"/>
    </row>
    <row r="39" customFormat="false" ht="19.5" hidden="false" customHeight="true" outlineLevel="0" collapsed="false">
      <c r="B39" s="30"/>
      <c r="C39" s="30"/>
      <c r="D39" s="30"/>
      <c r="E39" s="30"/>
      <c r="F39" s="30"/>
      <c r="G39" s="30"/>
      <c r="H39" s="30"/>
    </row>
    <row r="40" customFormat="false" ht="19.5" hidden="false" customHeight="true" outlineLevel="0" collapsed="false">
      <c r="B40" s="30"/>
      <c r="C40" s="30"/>
      <c r="D40" s="30"/>
      <c r="E40" s="30"/>
      <c r="F40" s="30"/>
      <c r="G40" s="30"/>
      <c r="H40" s="30"/>
    </row>
    <row r="41" customFormat="false" ht="19.5" hidden="false" customHeight="true" outlineLevel="0" collapsed="false">
      <c r="B41" s="30"/>
      <c r="C41" s="30"/>
      <c r="D41" s="30"/>
      <c r="E41" s="30"/>
      <c r="F41" s="30"/>
      <c r="G41" s="30"/>
      <c r="H41" s="30"/>
    </row>
    <row r="42" customFormat="false" ht="19.5" hidden="false" customHeight="true" outlineLevel="0" collapsed="false">
      <c r="B42" s="30"/>
      <c r="C42" s="30"/>
      <c r="D42" s="30"/>
      <c r="E42" s="30"/>
      <c r="F42" s="30"/>
      <c r="G42" s="30"/>
      <c r="H42" s="30"/>
    </row>
    <row r="43" customFormat="false" ht="19.5" hidden="false" customHeight="true" outlineLevel="0" collapsed="false">
      <c r="B43" s="30"/>
      <c r="C43" s="30"/>
      <c r="D43" s="30"/>
      <c r="E43" s="30"/>
      <c r="F43" s="30"/>
      <c r="G43" s="30"/>
      <c r="H43" s="30"/>
    </row>
    <row r="45" customFormat="false" ht="21.75" hidden="false" customHeight="true" outlineLevel="0" collapsed="false">
      <c r="B45" s="23" t="s">
        <v>146</v>
      </c>
      <c r="C45" s="23"/>
      <c r="D45" s="23"/>
      <c r="E45" s="23"/>
      <c r="F45" s="23"/>
      <c r="G45" s="23"/>
      <c r="H45" s="23"/>
    </row>
    <row r="46" customFormat="false" ht="36" hidden="false" customHeight="true" outlineLevel="0" collapsed="false">
      <c r="B46" s="31" t="s">
        <v>147</v>
      </c>
      <c r="C46" s="32" t="s">
        <v>275</v>
      </c>
      <c r="D46" s="32"/>
      <c r="E46" s="32"/>
      <c r="F46" s="32"/>
      <c r="G46" s="32"/>
      <c r="H46" s="32"/>
    </row>
    <row r="47" customFormat="false" ht="36" hidden="false" customHeight="true" outlineLevel="0" collapsed="false">
      <c r="B47" s="31" t="s">
        <v>149</v>
      </c>
      <c r="C47" s="32" t="s">
        <v>276</v>
      </c>
      <c r="D47" s="32"/>
      <c r="E47" s="32"/>
      <c r="F47" s="32"/>
      <c r="G47" s="32"/>
      <c r="H47" s="32"/>
    </row>
    <row r="48" customFormat="false" ht="36" hidden="false" customHeight="true" outlineLevel="0" collapsed="false">
      <c r="B48" s="31" t="s">
        <v>151</v>
      </c>
      <c r="C48" s="32" t="s">
        <v>277</v>
      </c>
      <c r="D48" s="32"/>
      <c r="E48" s="32"/>
      <c r="F48" s="32"/>
      <c r="G48" s="32"/>
      <c r="H48" s="32"/>
    </row>
    <row r="49" customFormat="false" ht="36" hidden="false" customHeight="true" outlineLevel="0" collapsed="false">
      <c r="B49" s="31" t="s">
        <v>153</v>
      </c>
      <c r="C49" s="32" t="s">
        <v>278</v>
      </c>
      <c r="D49" s="32"/>
      <c r="E49" s="32"/>
      <c r="F49" s="32"/>
      <c r="G49" s="32"/>
      <c r="H49" s="32"/>
    </row>
    <row r="50" customFormat="false" ht="36" hidden="false" customHeight="true" outlineLevel="0" collapsed="false">
      <c r="B50" s="31" t="s">
        <v>155</v>
      </c>
      <c r="C50" s="32" t="s">
        <v>279</v>
      </c>
      <c r="D50" s="32"/>
      <c r="E50" s="32"/>
      <c r="F50" s="32"/>
      <c r="G50" s="32"/>
      <c r="H50" s="32"/>
    </row>
    <row r="51" customFormat="false" ht="36" hidden="false" customHeight="true" outlineLevel="0" collapsed="false">
      <c r="B51" s="31" t="s">
        <v>157</v>
      </c>
      <c r="C51" s="32" t="s">
        <v>280</v>
      </c>
      <c r="D51" s="32"/>
      <c r="E51" s="32"/>
      <c r="F51" s="32"/>
      <c r="G51" s="32"/>
      <c r="H51" s="32"/>
    </row>
    <row r="52" customFormat="false" ht="36" hidden="false" customHeight="true" outlineLevel="0" collapsed="false">
      <c r="B52" s="31" t="s">
        <v>159</v>
      </c>
      <c r="C52" s="32" t="s">
        <v>281</v>
      </c>
      <c r="D52" s="32"/>
      <c r="E52" s="32"/>
      <c r="F52" s="32"/>
      <c r="G52" s="32"/>
      <c r="H52" s="32"/>
    </row>
  </sheetData>
  <mergeCells count="28">
    <mergeCell ref="B2:H2"/>
    <mergeCell ref="B3:H3"/>
    <mergeCell ref="B5:H5"/>
    <mergeCell ref="C6:H6"/>
    <mergeCell ref="C7:H7"/>
    <mergeCell ref="C8:H8"/>
    <mergeCell ref="C9:H9"/>
    <mergeCell ref="C10:H10"/>
    <mergeCell ref="C11:H11"/>
    <mergeCell ref="C12:H12"/>
    <mergeCell ref="C13:H13"/>
    <mergeCell ref="C14:H14"/>
    <mergeCell ref="C15:H15"/>
    <mergeCell ref="C16:H16"/>
    <mergeCell ref="B18:H18"/>
    <mergeCell ref="B19:H23"/>
    <mergeCell ref="B25:H25"/>
    <mergeCell ref="B35:H35"/>
    <mergeCell ref="B37:H37"/>
    <mergeCell ref="B38:H43"/>
    <mergeCell ref="B45:H45"/>
    <mergeCell ref="C46:H46"/>
    <mergeCell ref="C47:H47"/>
    <mergeCell ref="C48:H48"/>
    <mergeCell ref="C49:H49"/>
    <mergeCell ref="C50:H50"/>
    <mergeCell ref="C51:H51"/>
    <mergeCell ref="C52:H5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H5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22"/>
    <col collapsed="false" customWidth="true" hidden="false" outlineLevel="0" max="8" min="3" style="1" width="14"/>
  </cols>
  <sheetData>
    <row r="2" customFormat="false" ht="24" hidden="false" customHeight="true" outlineLevel="0" collapsed="false">
      <c r="B2" s="21" t="s">
        <v>282</v>
      </c>
      <c r="C2" s="21"/>
      <c r="D2" s="21"/>
      <c r="E2" s="21"/>
      <c r="F2" s="21"/>
      <c r="G2" s="21"/>
      <c r="H2" s="21"/>
    </row>
    <row r="3" customFormat="false" ht="15" hidden="false" customHeight="true" outlineLevel="0" collapsed="false">
      <c r="B3" s="22" t="s">
        <v>283</v>
      </c>
      <c r="C3" s="22"/>
      <c r="D3" s="22"/>
      <c r="E3" s="22"/>
      <c r="F3" s="22"/>
      <c r="G3" s="22"/>
      <c r="H3" s="22"/>
    </row>
    <row r="5" customFormat="false" ht="21.75" hidden="false" customHeight="true" outlineLevel="0" collapsed="false">
      <c r="B5" s="23" t="s">
        <v>117</v>
      </c>
      <c r="C5" s="23"/>
      <c r="D5" s="23"/>
      <c r="E5" s="23"/>
      <c r="F5" s="23"/>
      <c r="G5" s="23"/>
      <c r="H5" s="23"/>
    </row>
    <row r="6" customFormat="false" ht="15" hidden="false" customHeight="true" outlineLevel="0" collapsed="false">
      <c r="B6" s="24" t="s">
        <v>255</v>
      </c>
      <c r="C6" s="25" t="s">
        <v>284</v>
      </c>
      <c r="D6" s="25"/>
      <c r="E6" s="25"/>
      <c r="F6" s="25"/>
      <c r="G6" s="25"/>
      <c r="H6" s="25"/>
    </row>
    <row r="7" customFormat="false" ht="15" hidden="false" customHeight="true" outlineLevel="0" collapsed="false">
      <c r="B7" s="24" t="s">
        <v>118</v>
      </c>
      <c r="C7" s="25" t="s">
        <v>193</v>
      </c>
      <c r="D7" s="25"/>
      <c r="E7" s="25"/>
      <c r="F7" s="25"/>
      <c r="G7" s="25"/>
      <c r="H7" s="25"/>
    </row>
    <row r="8" customFormat="false" ht="15" hidden="false" customHeight="true" outlineLevel="0" collapsed="false">
      <c r="B8" s="24" t="s">
        <v>257</v>
      </c>
      <c r="C8" s="25" t="s">
        <v>285</v>
      </c>
      <c r="D8" s="25"/>
      <c r="E8" s="25"/>
      <c r="F8" s="25"/>
      <c r="G8" s="25"/>
      <c r="H8" s="25"/>
    </row>
    <row r="9" customFormat="false" ht="15" hidden="false" customHeight="true" outlineLevel="0" collapsed="false">
      <c r="B9" s="24" t="s">
        <v>122</v>
      </c>
      <c r="C9" s="25" t="s">
        <v>286</v>
      </c>
      <c r="D9" s="25"/>
      <c r="E9" s="25"/>
      <c r="F9" s="25"/>
      <c r="G9" s="25"/>
      <c r="H9" s="25"/>
    </row>
    <row r="10" customFormat="false" ht="15" hidden="false" customHeight="true" outlineLevel="0" collapsed="false">
      <c r="B10" s="24" t="s">
        <v>259</v>
      </c>
      <c r="C10" s="25" t="s">
        <v>287</v>
      </c>
      <c r="D10" s="25"/>
      <c r="E10" s="25"/>
      <c r="F10" s="25"/>
      <c r="G10" s="25"/>
      <c r="H10" s="25"/>
    </row>
    <row r="11" customFormat="false" ht="15" hidden="false" customHeight="true" outlineLevel="0" collapsed="false">
      <c r="B11" s="24" t="s">
        <v>126</v>
      </c>
      <c r="C11" s="25" t="s">
        <v>58</v>
      </c>
      <c r="D11" s="25"/>
      <c r="E11" s="25"/>
      <c r="F11" s="25"/>
      <c r="G11" s="25"/>
      <c r="H11" s="25"/>
    </row>
    <row r="12" customFormat="false" ht="15" hidden="false" customHeight="true" outlineLevel="0" collapsed="false">
      <c r="B12" s="24" t="s">
        <v>127</v>
      </c>
      <c r="C12" s="25" t="s">
        <v>288</v>
      </c>
      <c r="D12" s="25"/>
      <c r="E12" s="25"/>
      <c r="F12" s="25"/>
      <c r="G12" s="25"/>
      <c r="H12" s="25"/>
    </row>
    <row r="13" customFormat="false" ht="15" hidden="false" customHeight="true" outlineLevel="0" collapsed="false">
      <c r="B13" s="24" t="s">
        <v>131</v>
      </c>
      <c r="C13" s="25" t="s">
        <v>164</v>
      </c>
      <c r="D13" s="25"/>
      <c r="E13" s="25"/>
      <c r="F13" s="25"/>
      <c r="G13" s="25"/>
      <c r="H13" s="25"/>
    </row>
    <row r="14" customFormat="false" ht="15" hidden="false" customHeight="true" outlineLevel="0" collapsed="false">
      <c r="B14" s="24" t="s">
        <v>261</v>
      </c>
      <c r="C14" s="25" t="s">
        <v>166</v>
      </c>
      <c r="D14" s="25"/>
      <c r="E14" s="25"/>
      <c r="F14" s="25"/>
      <c r="G14" s="25"/>
      <c r="H14" s="25"/>
    </row>
    <row r="15" customFormat="false" ht="15" hidden="false" customHeight="true" outlineLevel="0" collapsed="false">
      <c r="B15" s="24" t="s">
        <v>129</v>
      </c>
      <c r="C15" s="25" t="s">
        <v>262</v>
      </c>
      <c r="D15" s="25"/>
      <c r="E15" s="25"/>
      <c r="F15" s="25"/>
      <c r="G15" s="25"/>
      <c r="H15" s="25"/>
    </row>
    <row r="16" customFormat="false" ht="15" hidden="false" customHeight="true" outlineLevel="0" collapsed="false">
      <c r="B16" s="24" t="s">
        <v>133</v>
      </c>
      <c r="C16" s="25" t="s">
        <v>289</v>
      </c>
      <c r="D16" s="25"/>
      <c r="E16" s="25"/>
      <c r="F16" s="25"/>
      <c r="G16" s="25"/>
      <c r="H16" s="25"/>
    </row>
    <row r="18" customFormat="false" ht="21.75" hidden="false" customHeight="true" outlineLevel="0" collapsed="false">
      <c r="B18" s="23" t="s">
        <v>135</v>
      </c>
      <c r="C18" s="23"/>
      <c r="D18" s="23"/>
      <c r="E18" s="23"/>
      <c r="F18" s="23"/>
      <c r="G18" s="23"/>
      <c r="H18" s="23"/>
    </row>
    <row r="19" customFormat="false" ht="19.5" hidden="false" customHeight="true" outlineLevel="0" collapsed="false">
      <c r="B19" s="33" t="s">
        <v>290</v>
      </c>
      <c r="C19" s="33"/>
      <c r="D19" s="33"/>
      <c r="E19" s="33"/>
      <c r="F19" s="33"/>
      <c r="G19" s="33"/>
      <c r="H19" s="33"/>
    </row>
    <row r="20" customFormat="false" ht="19.5" hidden="false" customHeight="true" outlineLevel="0" collapsed="false">
      <c r="B20" s="33"/>
      <c r="C20" s="33"/>
      <c r="D20" s="33"/>
      <c r="E20" s="33"/>
      <c r="F20" s="33"/>
      <c r="G20" s="33"/>
      <c r="H20" s="33"/>
    </row>
    <row r="21" customFormat="false" ht="19.5" hidden="false" customHeight="true" outlineLevel="0" collapsed="false">
      <c r="B21" s="33"/>
      <c r="C21" s="33"/>
      <c r="D21" s="33"/>
      <c r="E21" s="33"/>
      <c r="F21" s="33"/>
      <c r="G21" s="33"/>
      <c r="H21" s="33"/>
    </row>
    <row r="22" customFormat="false" ht="19.5" hidden="false" customHeight="true" outlineLevel="0" collapsed="false">
      <c r="B22" s="33"/>
      <c r="C22" s="33"/>
      <c r="D22" s="33"/>
      <c r="E22" s="33"/>
      <c r="F22" s="33"/>
      <c r="G22" s="33"/>
      <c r="H22" s="33"/>
    </row>
    <row r="23" customFormat="false" ht="19.5" hidden="false" customHeight="true" outlineLevel="0" collapsed="false">
      <c r="B23" s="33"/>
      <c r="C23" s="33"/>
      <c r="D23" s="33"/>
      <c r="E23" s="33"/>
      <c r="F23" s="33"/>
      <c r="G23" s="33"/>
      <c r="H23" s="33"/>
    </row>
    <row r="25" customFormat="false" ht="21.75" hidden="false" customHeight="true" outlineLevel="0" collapsed="false">
      <c r="B25" s="23" t="s">
        <v>137</v>
      </c>
      <c r="C25" s="23"/>
      <c r="D25" s="23"/>
      <c r="E25" s="23"/>
      <c r="F25" s="23"/>
      <c r="G25" s="23"/>
      <c r="H25" s="23"/>
    </row>
    <row r="26" customFormat="false" ht="30" hidden="false" customHeight="true" outlineLevel="0" collapsed="false">
      <c r="B26" s="27" t="s">
        <v>138</v>
      </c>
      <c r="C26" s="27" t="s">
        <v>264</v>
      </c>
      <c r="D26" s="27" t="s">
        <v>265</v>
      </c>
      <c r="E26" s="27" t="s">
        <v>141</v>
      </c>
      <c r="F26" s="27" t="s">
        <v>266</v>
      </c>
    </row>
    <row r="27" customFormat="false" ht="15" hidden="false" customHeight="true" outlineLevel="0" collapsed="false">
      <c r="B27" s="34" t="s">
        <v>267</v>
      </c>
      <c r="C27" s="34" t="n">
        <v>4</v>
      </c>
      <c r="D27" s="34" t="n">
        <v>0</v>
      </c>
      <c r="E27" s="34" t="n">
        <v>2</v>
      </c>
      <c r="F27" s="34" t="n">
        <v>1</v>
      </c>
    </row>
    <row r="28" customFormat="false" ht="15" hidden="false" customHeight="true" outlineLevel="0" collapsed="false">
      <c r="B28" s="29" t="s">
        <v>268</v>
      </c>
      <c r="C28" s="29" t="n">
        <v>4</v>
      </c>
      <c r="D28" s="29" t="n">
        <v>0</v>
      </c>
      <c r="E28" s="29" t="n">
        <v>2</v>
      </c>
      <c r="F28" s="29" t="n">
        <v>2</v>
      </c>
    </row>
    <row r="29" customFormat="false" ht="15" hidden="false" customHeight="true" outlineLevel="0" collapsed="false">
      <c r="B29" s="34" t="s">
        <v>269</v>
      </c>
      <c r="C29" s="34" t="n">
        <v>4</v>
      </c>
      <c r="D29" s="34" t="n">
        <v>0</v>
      </c>
      <c r="E29" s="34" t="n">
        <v>2</v>
      </c>
      <c r="F29" s="34" t="n">
        <v>3</v>
      </c>
    </row>
    <row r="30" customFormat="false" ht="15" hidden="false" customHeight="true" outlineLevel="0" collapsed="false">
      <c r="B30" s="35" t="s">
        <v>291</v>
      </c>
      <c r="C30" s="35" t="n">
        <v>4</v>
      </c>
      <c r="D30" s="35" t="n">
        <v>0</v>
      </c>
      <c r="E30" s="35" t="n">
        <v>2</v>
      </c>
      <c r="F30" s="35" t="s">
        <v>42</v>
      </c>
    </row>
    <row r="31" customFormat="false" ht="15" hidden="false" customHeight="true" outlineLevel="0" collapsed="false">
      <c r="B31" s="35" t="s">
        <v>292</v>
      </c>
      <c r="C31" s="35" t="n">
        <v>2</v>
      </c>
      <c r="D31" s="35" t="n">
        <v>0</v>
      </c>
      <c r="E31" s="35" t="n">
        <v>1</v>
      </c>
      <c r="F31" s="35" t="s">
        <v>42</v>
      </c>
    </row>
    <row r="33" customFormat="false" ht="30" hidden="false" customHeight="true" outlineLevel="0" collapsed="false">
      <c r="B33" s="9" t="s">
        <v>273</v>
      </c>
      <c r="C33" s="9"/>
      <c r="D33" s="9"/>
      <c r="E33" s="9"/>
      <c r="F33" s="9"/>
      <c r="G33" s="9"/>
      <c r="H33" s="9"/>
    </row>
    <row r="35" customFormat="false" ht="21.75" hidden="false" customHeight="true" outlineLevel="0" collapsed="false">
      <c r="B35" s="23" t="s">
        <v>144</v>
      </c>
      <c r="C35" s="23"/>
      <c r="D35" s="23"/>
      <c r="E35" s="23"/>
      <c r="F35" s="23"/>
      <c r="G35" s="23"/>
      <c r="H35" s="23"/>
    </row>
    <row r="36" customFormat="false" ht="19.5" hidden="false" customHeight="true" outlineLevel="0" collapsed="false">
      <c r="B36" s="30" t="s">
        <v>293</v>
      </c>
      <c r="C36" s="30"/>
      <c r="D36" s="30"/>
      <c r="E36" s="30"/>
      <c r="F36" s="30"/>
      <c r="G36" s="30"/>
      <c r="H36" s="30"/>
    </row>
    <row r="37" customFormat="false" ht="19.5" hidden="false" customHeight="true" outlineLevel="0" collapsed="false">
      <c r="B37" s="30"/>
      <c r="C37" s="30"/>
      <c r="D37" s="30"/>
      <c r="E37" s="30"/>
      <c r="F37" s="30"/>
      <c r="G37" s="30"/>
      <c r="H37" s="30"/>
    </row>
    <row r="38" customFormat="false" ht="19.5" hidden="false" customHeight="true" outlineLevel="0" collapsed="false">
      <c r="B38" s="30"/>
      <c r="C38" s="30"/>
      <c r="D38" s="30"/>
      <c r="E38" s="30"/>
      <c r="F38" s="30"/>
      <c r="G38" s="30"/>
      <c r="H38" s="30"/>
    </row>
    <row r="39" customFormat="false" ht="19.5" hidden="false" customHeight="true" outlineLevel="0" collapsed="false">
      <c r="B39" s="30"/>
      <c r="C39" s="30"/>
      <c r="D39" s="30"/>
      <c r="E39" s="30"/>
      <c r="F39" s="30"/>
      <c r="G39" s="30"/>
      <c r="H39" s="30"/>
    </row>
    <row r="40" customFormat="false" ht="19.5" hidden="false" customHeight="true" outlineLevel="0" collapsed="false">
      <c r="B40" s="30"/>
      <c r="C40" s="30"/>
      <c r="D40" s="30"/>
      <c r="E40" s="30"/>
      <c r="F40" s="30"/>
      <c r="G40" s="30"/>
      <c r="H40" s="30"/>
    </row>
    <row r="41" customFormat="false" ht="19.5" hidden="false" customHeight="true" outlineLevel="0" collapsed="false">
      <c r="B41" s="30"/>
      <c r="C41" s="30"/>
      <c r="D41" s="30"/>
      <c r="E41" s="30"/>
      <c r="F41" s="30"/>
      <c r="G41" s="30"/>
      <c r="H41" s="30"/>
    </row>
    <row r="43" customFormat="false" ht="21.75" hidden="false" customHeight="true" outlineLevel="0" collapsed="false">
      <c r="B43" s="23" t="s">
        <v>146</v>
      </c>
      <c r="C43" s="23"/>
      <c r="D43" s="23"/>
      <c r="E43" s="23"/>
      <c r="F43" s="23"/>
      <c r="G43" s="23"/>
      <c r="H43" s="23"/>
    </row>
    <row r="44" customFormat="false" ht="36" hidden="false" customHeight="true" outlineLevel="0" collapsed="false">
      <c r="B44" s="31" t="s">
        <v>147</v>
      </c>
      <c r="C44" s="32" t="s">
        <v>294</v>
      </c>
      <c r="D44" s="32"/>
      <c r="E44" s="32"/>
      <c r="F44" s="32"/>
      <c r="G44" s="32"/>
      <c r="H44" s="32"/>
    </row>
    <row r="45" customFormat="false" ht="36" hidden="false" customHeight="true" outlineLevel="0" collapsed="false">
      <c r="B45" s="31" t="s">
        <v>149</v>
      </c>
      <c r="C45" s="32" t="s">
        <v>295</v>
      </c>
      <c r="D45" s="32"/>
      <c r="E45" s="32"/>
      <c r="F45" s="32"/>
      <c r="G45" s="32"/>
      <c r="H45" s="32"/>
    </row>
    <row r="46" customFormat="false" ht="36" hidden="false" customHeight="true" outlineLevel="0" collapsed="false">
      <c r="B46" s="31" t="s">
        <v>151</v>
      </c>
      <c r="C46" s="32" t="s">
        <v>296</v>
      </c>
      <c r="D46" s="32"/>
      <c r="E46" s="32"/>
      <c r="F46" s="32"/>
      <c r="G46" s="32"/>
      <c r="H46" s="32"/>
    </row>
    <row r="47" customFormat="false" ht="36" hidden="false" customHeight="true" outlineLevel="0" collapsed="false">
      <c r="B47" s="31" t="s">
        <v>153</v>
      </c>
      <c r="C47" s="32" t="s">
        <v>297</v>
      </c>
      <c r="D47" s="32"/>
      <c r="E47" s="32"/>
      <c r="F47" s="32"/>
      <c r="G47" s="32"/>
      <c r="H47" s="32"/>
    </row>
    <row r="48" customFormat="false" ht="36" hidden="false" customHeight="true" outlineLevel="0" collapsed="false">
      <c r="B48" s="31" t="s">
        <v>155</v>
      </c>
      <c r="C48" s="32" t="s">
        <v>279</v>
      </c>
      <c r="D48" s="32"/>
      <c r="E48" s="32"/>
      <c r="F48" s="32"/>
      <c r="G48" s="32"/>
      <c r="H48" s="32"/>
    </row>
    <row r="49" customFormat="false" ht="36" hidden="false" customHeight="true" outlineLevel="0" collapsed="false">
      <c r="B49" s="31" t="s">
        <v>157</v>
      </c>
      <c r="C49" s="32" t="s">
        <v>298</v>
      </c>
      <c r="D49" s="32"/>
      <c r="E49" s="32"/>
      <c r="F49" s="32"/>
      <c r="G49" s="32"/>
      <c r="H49" s="32"/>
    </row>
    <row r="50" customFormat="false" ht="36" hidden="false" customHeight="true" outlineLevel="0" collapsed="false">
      <c r="B50" s="31" t="s">
        <v>159</v>
      </c>
      <c r="C50" s="32" t="s">
        <v>281</v>
      </c>
      <c r="D50" s="32"/>
      <c r="E50" s="32"/>
      <c r="F50" s="32"/>
      <c r="G50" s="32"/>
      <c r="H50" s="32"/>
    </row>
  </sheetData>
  <mergeCells count="28">
    <mergeCell ref="B2:H2"/>
    <mergeCell ref="B3:H3"/>
    <mergeCell ref="B5:H5"/>
    <mergeCell ref="C6:H6"/>
    <mergeCell ref="C7:H7"/>
    <mergeCell ref="C8:H8"/>
    <mergeCell ref="C9:H9"/>
    <mergeCell ref="C10:H10"/>
    <mergeCell ref="C11:H11"/>
    <mergeCell ref="C12:H12"/>
    <mergeCell ref="C13:H13"/>
    <mergeCell ref="C14:H14"/>
    <mergeCell ref="C15:H15"/>
    <mergeCell ref="C16:H16"/>
    <mergeCell ref="B18:H18"/>
    <mergeCell ref="B19:H23"/>
    <mergeCell ref="B25:H25"/>
    <mergeCell ref="B33:H33"/>
    <mergeCell ref="B35:H35"/>
    <mergeCell ref="B36:H41"/>
    <mergeCell ref="B43:H43"/>
    <mergeCell ref="C44:H44"/>
    <mergeCell ref="C45:H45"/>
    <mergeCell ref="C46:H46"/>
    <mergeCell ref="C47:H47"/>
    <mergeCell ref="C48:H48"/>
    <mergeCell ref="C49:H49"/>
    <mergeCell ref="C50:H5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H5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22"/>
    <col collapsed="false" customWidth="true" hidden="false" outlineLevel="0" max="8" min="3" style="1" width="14"/>
  </cols>
  <sheetData>
    <row r="2" customFormat="false" ht="24" hidden="false" customHeight="true" outlineLevel="0" collapsed="false">
      <c r="B2" s="21" t="s">
        <v>299</v>
      </c>
      <c r="C2" s="21"/>
      <c r="D2" s="21"/>
      <c r="E2" s="21"/>
      <c r="F2" s="21"/>
      <c r="G2" s="21"/>
      <c r="H2" s="21"/>
    </row>
    <row r="3" customFormat="false" ht="15" hidden="false" customHeight="true" outlineLevel="0" collapsed="false">
      <c r="B3" s="22" t="s">
        <v>300</v>
      </c>
      <c r="C3" s="22"/>
      <c r="D3" s="22"/>
      <c r="E3" s="22"/>
      <c r="F3" s="22"/>
      <c r="G3" s="22"/>
      <c r="H3" s="22"/>
    </row>
    <row r="5" customFormat="false" ht="21.75" hidden="false" customHeight="true" outlineLevel="0" collapsed="false">
      <c r="B5" s="23" t="s">
        <v>117</v>
      </c>
      <c r="C5" s="23"/>
      <c r="D5" s="23"/>
      <c r="E5" s="23"/>
      <c r="F5" s="23"/>
      <c r="G5" s="23"/>
      <c r="H5" s="23"/>
    </row>
    <row r="6" customFormat="false" ht="15" hidden="false" customHeight="true" outlineLevel="0" collapsed="false">
      <c r="B6" s="24" t="s">
        <v>255</v>
      </c>
      <c r="C6" s="25" t="s">
        <v>301</v>
      </c>
      <c r="D6" s="25"/>
      <c r="E6" s="25"/>
      <c r="F6" s="25"/>
      <c r="G6" s="25"/>
      <c r="H6" s="25"/>
    </row>
    <row r="7" customFormat="false" ht="15" hidden="false" customHeight="true" outlineLevel="0" collapsed="false">
      <c r="B7" s="24" t="s">
        <v>118</v>
      </c>
      <c r="C7" s="25" t="s">
        <v>193</v>
      </c>
      <c r="D7" s="25"/>
      <c r="E7" s="25"/>
      <c r="F7" s="25"/>
      <c r="G7" s="25"/>
      <c r="H7" s="25"/>
    </row>
    <row r="8" customFormat="false" ht="15" hidden="false" customHeight="true" outlineLevel="0" collapsed="false">
      <c r="B8" s="24" t="s">
        <v>257</v>
      </c>
      <c r="C8" s="25" t="s">
        <v>302</v>
      </c>
      <c r="D8" s="25"/>
      <c r="E8" s="25"/>
      <c r="F8" s="25"/>
      <c r="G8" s="25"/>
      <c r="H8" s="25"/>
    </row>
    <row r="9" customFormat="false" ht="15" hidden="false" customHeight="true" outlineLevel="0" collapsed="false">
      <c r="B9" s="24" t="s">
        <v>122</v>
      </c>
      <c r="C9" s="25" t="s">
        <v>164</v>
      </c>
      <c r="D9" s="25"/>
      <c r="E9" s="25"/>
      <c r="F9" s="25"/>
      <c r="G9" s="25"/>
      <c r="H9" s="25"/>
    </row>
    <row r="10" customFormat="false" ht="15" hidden="false" customHeight="true" outlineLevel="0" collapsed="false">
      <c r="B10" s="24" t="s">
        <v>259</v>
      </c>
      <c r="C10" s="25" t="s">
        <v>165</v>
      </c>
      <c r="D10" s="25"/>
      <c r="E10" s="25"/>
      <c r="F10" s="25"/>
      <c r="G10" s="25"/>
      <c r="H10" s="25"/>
    </row>
    <row r="11" customFormat="false" ht="15" hidden="false" customHeight="true" outlineLevel="0" collapsed="false">
      <c r="B11" s="24" t="s">
        <v>126</v>
      </c>
      <c r="C11" s="25" t="s">
        <v>58</v>
      </c>
      <c r="D11" s="25"/>
      <c r="E11" s="25"/>
      <c r="F11" s="25"/>
      <c r="G11" s="25"/>
      <c r="H11" s="25"/>
    </row>
    <row r="12" customFormat="false" ht="15" hidden="false" customHeight="true" outlineLevel="0" collapsed="false">
      <c r="B12" s="24" t="s">
        <v>127</v>
      </c>
      <c r="C12" s="25" t="s">
        <v>288</v>
      </c>
      <c r="D12" s="25"/>
      <c r="E12" s="25"/>
      <c r="F12" s="25"/>
      <c r="G12" s="25"/>
      <c r="H12" s="25"/>
    </row>
    <row r="13" customFormat="false" ht="15" hidden="false" customHeight="true" outlineLevel="0" collapsed="false">
      <c r="B13" s="24" t="s">
        <v>131</v>
      </c>
      <c r="C13" s="25" t="s">
        <v>132</v>
      </c>
      <c r="D13" s="25"/>
      <c r="E13" s="25"/>
      <c r="F13" s="25"/>
      <c r="G13" s="25"/>
      <c r="H13" s="25"/>
    </row>
    <row r="14" customFormat="false" ht="15" hidden="false" customHeight="true" outlineLevel="0" collapsed="false">
      <c r="B14" s="24" t="s">
        <v>261</v>
      </c>
      <c r="C14" s="25" t="s">
        <v>166</v>
      </c>
      <c r="D14" s="25"/>
      <c r="E14" s="25"/>
      <c r="F14" s="25"/>
      <c r="G14" s="25"/>
      <c r="H14" s="25"/>
    </row>
    <row r="15" customFormat="false" ht="15" hidden="false" customHeight="true" outlineLevel="0" collapsed="false">
      <c r="B15" s="24" t="s">
        <v>129</v>
      </c>
      <c r="C15" s="25" t="s">
        <v>262</v>
      </c>
      <c r="D15" s="25"/>
      <c r="E15" s="25"/>
      <c r="F15" s="25"/>
      <c r="G15" s="25"/>
      <c r="H15" s="25"/>
    </row>
    <row r="16" customFormat="false" ht="15" hidden="false" customHeight="true" outlineLevel="0" collapsed="false">
      <c r="B16" s="24" t="s">
        <v>133</v>
      </c>
      <c r="C16" s="25" t="s">
        <v>134</v>
      </c>
      <c r="D16" s="25"/>
      <c r="E16" s="25"/>
      <c r="F16" s="25"/>
      <c r="G16" s="25"/>
      <c r="H16" s="25"/>
    </row>
    <row r="18" customFormat="false" ht="21.75" hidden="false" customHeight="true" outlineLevel="0" collapsed="false">
      <c r="B18" s="23" t="s">
        <v>135</v>
      </c>
      <c r="C18" s="23"/>
      <c r="D18" s="23"/>
      <c r="E18" s="23"/>
      <c r="F18" s="23"/>
      <c r="G18" s="23"/>
      <c r="H18" s="23"/>
    </row>
    <row r="19" customFormat="false" ht="19.5" hidden="false" customHeight="true" outlineLevel="0" collapsed="false">
      <c r="B19" s="33" t="s">
        <v>303</v>
      </c>
      <c r="C19" s="33"/>
      <c r="D19" s="33"/>
      <c r="E19" s="33"/>
      <c r="F19" s="33"/>
      <c r="G19" s="33"/>
      <c r="H19" s="33"/>
    </row>
    <row r="20" customFormat="false" ht="19.5" hidden="false" customHeight="true" outlineLevel="0" collapsed="false">
      <c r="B20" s="33"/>
      <c r="C20" s="33"/>
      <c r="D20" s="33"/>
      <c r="E20" s="33"/>
      <c r="F20" s="33"/>
      <c r="G20" s="33"/>
      <c r="H20" s="33"/>
    </row>
    <row r="21" customFormat="false" ht="19.5" hidden="false" customHeight="true" outlineLevel="0" collapsed="false">
      <c r="B21" s="33"/>
      <c r="C21" s="33"/>
      <c r="D21" s="33"/>
      <c r="E21" s="33"/>
      <c r="F21" s="33"/>
      <c r="G21" s="33"/>
      <c r="H21" s="33"/>
    </row>
    <row r="22" customFormat="false" ht="19.5" hidden="false" customHeight="true" outlineLevel="0" collapsed="false">
      <c r="B22" s="33"/>
      <c r="C22" s="33"/>
      <c r="D22" s="33"/>
      <c r="E22" s="33"/>
      <c r="F22" s="33"/>
      <c r="G22" s="33"/>
      <c r="H22" s="33"/>
    </row>
    <row r="23" customFormat="false" ht="19.5" hidden="false" customHeight="true" outlineLevel="0" collapsed="false">
      <c r="B23" s="33"/>
      <c r="C23" s="33"/>
      <c r="D23" s="33"/>
      <c r="E23" s="33"/>
      <c r="F23" s="33"/>
      <c r="G23" s="33"/>
      <c r="H23" s="33"/>
    </row>
    <row r="25" customFormat="false" ht="21.75" hidden="false" customHeight="true" outlineLevel="0" collapsed="false">
      <c r="B25" s="23" t="s">
        <v>137</v>
      </c>
      <c r="C25" s="23"/>
      <c r="D25" s="23"/>
      <c r="E25" s="23"/>
      <c r="F25" s="23"/>
      <c r="G25" s="23"/>
      <c r="H25" s="23"/>
    </row>
    <row r="26" customFormat="false" ht="30" hidden="false" customHeight="true" outlineLevel="0" collapsed="false">
      <c r="B26" s="27" t="s">
        <v>138</v>
      </c>
      <c r="C26" s="27" t="s">
        <v>264</v>
      </c>
      <c r="D26" s="27" t="s">
        <v>265</v>
      </c>
      <c r="E26" s="27" t="s">
        <v>141</v>
      </c>
      <c r="F26" s="27" t="s">
        <v>266</v>
      </c>
    </row>
    <row r="27" customFormat="false" ht="15" hidden="false" customHeight="true" outlineLevel="0" collapsed="false">
      <c r="B27" s="34" t="s">
        <v>267</v>
      </c>
      <c r="C27" s="34" t="n">
        <v>4</v>
      </c>
      <c r="D27" s="34" t="n">
        <v>1</v>
      </c>
      <c r="E27" s="34" t="n">
        <v>2</v>
      </c>
      <c r="F27" s="34" t="n">
        <v>1</v>
      </c>
    </row>
    <row r="28" customFormat="false" ht="15" hidden="false" customHeight="true" outlineLevel="0" collapsed="false">
      <c r="B28" s="29" t="s">
        <v>268</v>
      </c>
      <c r="C28" s="29" t="n">
        <v>4</v>
      </c>
      <c r="D28" s="29" t="n">
        <v>1</v>
      </c>
      <c r="E28" s="29" t="n">
        <v>2</v>
      </c>
      <c r="F28" s="29" t="n">
        <v>2</v>
      </c>
    </row>
    <row r="29" customFormat="false" ht="15" hidden="false" customHeight="true" outlineLevel="0" collapsed="false">
      <c r="B29" s="34" t="s">
        <v>269</v>
      </c>
      <c r="C29" s="34" t="n">
        <v>4</v>
      </c>
      <c r="D29" s="34" t="n">
        <v>1</v>
      </c>
      <c r="E29" s="34" t="n">
        <v>2</v>
      </c>
      <c r="F29" s="34" t="n">
        <v>3</v>
      </c>
    </row>
    <row r="30" customFormat="false" ht="15" hidden="false" customHeight="true" outlineLevel="0" collapsed="false">
      <c r="B30" s="29" t="s">
        <v>270</v>
      </c>
      <c r="C30" s="29" t="n">
        <v>4</v>
      </c>
      <c r="D30" s="29" t="n">
        <v>1</v>
      </c>
      <c r="E30" s="29" t="n">
        <v>2</v>
      </c>
      <c r="F30" s="29" t="n">
        <v>4</v>
      </c>
    </row>
    <row r="31" customFormat="false" ht="15" hidden="false" customHeight="true" outlineLevel="0" collapsed="false">
      <c r="B31" s="34" t="s">
        <v>271</v>
      </c>
      <c r="C31" s="34" t="n">
        <v>4</v>
      </c>
      <c r="D31" s="34" t="n">
        <v>1</v>
      </c>
      <c r="E31" s="34" t="n">
        <v>2</v>
      </c>
      <c r="F31" s="34" t="n">
        <v>4</v>
      </c>
    </row>
    <row r="32" customFormat="false" ht="15" hidden="false" customHeight="true" outlineLevel="0" collapsed="false">
      <c r="B32" s="35" t="s">
        <v>291</v>
      </c>
      <c r="C32" s="35" t="n">
        <v>4</v>
      </c>
      <c r="D32" s="35" t="n">
        <v>0</v>
      </c>
      <c r="E32" s="35" t="n">
        <v>2</v>
      </c>
      <c r="F32" s="35" t="s">
        <v>42</v>
      </c>
    </row>
    <row r="33" customFormat="false" ht="15" hidden="false" customHeight="true" outlineLevel="0" collapsed="false">
      <c r="B33" s="35" t="s">
        <v>292</v>
      </c>
      <c r="C33" s="35" t="n">
        <v>2</v>
      </c>
      <c r="D33" s="35" t="n">
        <v>0</v>
      </c>
      <c r="E33" s="35" t="n">
        <v>1</v>
      </c>
      <c r="F33" s="35" t="s">
        <v>42</v>
      </c>
    </row>
    <row r="35" customFormat="false" ht="30" hidden="false" customHeight="true" outlineLevel="0" collapsed="false">
      <c r="B35" s="9" t="s">
        <v>273</v>
      </c>
      <c r="C35" s="9"/>
      <c r="D35" s="9"/>
      <c r="E35" s="9"/>
      <c r="F35" s="9"/>
      <c r="G35" s="9"/>
      <c r="H35" s="9"/>
    </row>
    <row r="37" customFormat="false" ht="21.75" hidden="false" customHeight="true" outlineLevel="0" collapsed="false">
      <c r="B37" s="23" t="s">
        <v>144</v>
      </c>
      <c r="C37" s="23"/>
      <c r="D37" s="23"/>
      <c r="E37" s="23"/>
      <c r="F37" s="23"/>
      <c r="G37" s="23"/>
      <c r="H37" s="23"/>
    </row>
    <row r="38" customFormat="false" ht="19.5" hidden="false" customHeight="true" outlineLevel="0" collapsed="false">
      <c r="B38" s="30" t="s">
        <v>293</v>
      </c>
      <c r="C38" s="30"/>
      <c r="D38" s="30"/>
      <c r="E38" s="30"/>
      <c r="F38" s="30"/>
      <c r="G38" s="30"/>
      <c r="H38" s="30"/>
    </row>
    <row r="39" customFormat="false" ht="19.5" hidden="false" customHeight="true" outlineLevel="0" collapsed="false">
      <c r="B39" s="30"/>
      <c r="C39" s="30"/>
      <c r="D39" s="30"/>
      <c r="E39" s="30"/>
      <c r="F39" s="30"/>
      <c r="G39" s="30"/>
      <c r="H39" s="30"/>
    </row>
    <row r="40" customFormat="false" ht="19.5" hidden="false" customHeight="true" outlineLevel="0" collapsed="false">
      <c r="B40" s="30"/>
      <c r="C40" s="30"/>
      <c r="D40" s="30"/>
      <c r="E40" s="30"/>
      <c r="F40" s="30"/>
      <c r="G40" s="30"/>
      <c r="H40" s="30"/>
    </row>
    <row r="41" customFormat="false" ht="19.5" hidden="false" customHeight="true" outlineLevel="0" collapsed="false">
      <c r="B41" s="30"/>
      <c r="C41" s="30"/>
      <c r="D41" s="30"/>
      <c r="E41" s="30"/>
      <c r="F41" s="30"/>
      <c r="G41" s="30"/>
      <c r="H41" s="30"/>
    </row>
    <row r="42" customFormat="false" ht="19.5" hidden="false" customHeight="true" outlineLevel="0" collapsed="false">
      <c r="B42" s="30"/>
      <c r="C42" s="30"/>
      <c r="D42" s="30"/>
      <c r="E42" s="30"/>
      <c r="F42" s="30"/>
      <c r="G42" s="30"/>
      <c r="H42" s="30"/>
    </row>
    <row r="43" customFormat="false" ht="19.5" hidden="false" customHeight="true" outlineLevel="0" collapsed="false">
      <c r="B43" s="30"/>
      <c r="C43" s="30"/>
      <c r="D43" s="30"/>
      <c r="E43" s="30"/>
      <c r="F43" s="30"/>
      <c r="G43" s="30"/>
      <c r="H43" s="30"/>
    </row>
    <row r="45" customFormat="false" ht="21.75" hidden="false" customHeight="true" outlineLevel="0" collapsed="false">
      <c r="B45" s="23" t="s">
        <v>146</v>
      </c>
      <c r="C45" s="23"/>
      <c r="D45" s="23"/>
      <c r="E45" s="23"/>
      <c r="F45" s="23"/>
      <c r="G45" s="23"/>
      <c r="H45" s="23"/>
    </row>
    <row r="46" customFormat="false" ht="36" hidden="false" customHeight="true" outlineLevel="0" collapsed="false">
      <c r="B46" s="31" t="s">
        <v>147</v>
      </c>
      <c r="C46" s="32" t="s">
        <v>304</v>
      </c>
      <c r="D46" s="32"/>
      <c r="E46" s="32"/>
      <c r="F46" s="32"/>
      <c r="G46" s="32"/>
      <c r="H46" s="32"/>
    </row>
    <row r="47" customFormat="false" ht="36" hidden="false" customHeight="true" outlineLevel="0" collapsed="false">
      <c r="B47" s="31" t="s">
        <v>149</v>
      </c>
      <c r="C47" s="32" t="s">
        <v>295</v>
      </c>
      <c r="D47" s="32"/>
      <c r="E47" s="32"/>
      <c r="F47" s="32"/>
      <c r="G47" s="32"/>
      <c r="H47" s="32"/>
    </row>
    <row r="48" customFormat="false" ht="36" hidden="false" customHeight="true" outlineLevel="0" collapsed="false">
      <c r="B48" s="31" t="s">
        <v>151</v>
      </c>
      <c r="C48" s="32" t="s">
        <v>305</v>
      </c>
      <c r="D48" s="32"/>
      <c r="E48" s="32"/>
      <c r="F48" s="32"/>
      <c r="G48" s="32"/>
      <c r="H48" s="32"/>
    </row>
    <row r="49" customFormat="false" ht="36" hidden="false" customHeight="true" outlineLevel="0" collapsed="false">
      <c r="B49" s="31" t="s">
        <v>153</v>
      </c>
      <c r="C49" s="32" t="s">
        <v>306</v>
      </c>
      <c r="D49" s="32"/>
      <c r="E49" s="32"/>
      <c r="F49" s="32"/>
      <c r="G49" s="32"/>
      <c r="H49" s="32"/>
    </row>
    <row r="50" customFormat="false" ht="36" hidden="false" customHeight="true" outlineLevel="0" collapsed="false">
      <c r="B50" s="31" t="s">
        <v>155</v>
      </c>
      <c r="C50" s="32" t="s">
        <v>279</v>
      </c>
      <c r="D50" s="32"/>
      <c r="E50" s="32"/>
      <c r="F50" s="32"/>
      <c r="G50" s="32"/>
      <c r="H50" s="32"/>
    </row>
    <row r="51" customFormat="false" ht="36" hidden="false" customHeight="true" outlineLevel="0" collapsed="false">
      <c r="B51" s="31" t="s">
        <v>157</v>
      </c>
      <c r="C51" s="32" t="s">
        <v>298</v>
      </c>
      <c r="D51" s="32"/>
      <c r="E51" s="32"/>
      <c r="F51" s="32"/>
      <c r="G51" s="32"/>
      <c r="H51" s="32"/>
    </row>
    <row r="52" customFormat="false" ht="36" hidden="false" customHeight="true" outlineLevel="0" collapsed="false">
      <c r="B52" s="31" t="s">
        <v>159</v>
      </c>
      <c r="C52" s="32" t="s">
        <v>281</v>
      </c>
      <c r="D52" s="32"/>
      <c r="E52" s="32"/>
      <c r="F52" s="32"/>
      <c r="G52" s="32"/>
      <c r="H52" s="32"/>
    </row>
  </sheetData>
  <mergeCells count="28">
    <mergeCell ref="B2:H2"/>
    <mergeCell ref="B3:H3"/>
    <mergeCell ref="B5:H5"/>
    <mergeCell ref="C6:H6"/>
    <mergeCell ref="C7:H7"/>
    <mergeCell ref="C8:H8"/>
    <mergeCell ref="C9:H9"/>
    <mergeCell ref="C10:H10"/>
    <mergeCell ref="C11:H11"/>
    <mergeCell ref="C12:H12"/>
    <mergeCell ref="C13:H13"/>
    <mergeCell ref="C14:H14"/>
    <mergeCell ref="C15:H15"/>
    <mergeCell ref="C16:H16"/>
    <mergeCell ref="B18:H18"/>
    <mergeCell ref="B19:H23"/>
    <mergeCell ref="B25:H25"/>
    <mergeCell ref="B35:H35"/>
    <mergeCell ref="B37:H37"/>
    <mergeCell ref="B38:H43"/>
    <mergeCell ref="B45:H45"/>
    <mergeCell ref="C46:H46"/>
    <mergeCell ref="C47:H47"/>
    <mergeCell ref="C48:H48"/>
    <mergeCell ref="C49:H49"/>
    <mergeCell ref="C50:H50"/>
    <mergeCell ref="C51:H51"/>
    <mergeCell ref="C52:H5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H5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22"/>
    <col collapsed="false" customWidth="true" hidden="false" outlineLevel="0" max="8" min="3" style="1" width="14"/>
  </cols>
  <sheetData>
    <row r="2" customFormat="false" ht="24" hidden="false" customHeight="true" outlineLevel="0" collapsed="false">
      <c r="B2" s="21" t="s">
        <v>307</v>
      </c>
      <c r="C2" s="21"/>
      <c r="D2" s="21"/>
      <c r="E2" s="21"/>
      <c r="F2" s="21"/>
      <c r="G2" s="21"/>
      <c r="H2" s="21"/>
    </row>
    <row r="3" customFormat="false" ht="15" hidden="false" customHeight="true" outlineLevel="0" collapsed="false">
      <c r="B3" s="22" t="s">
        <v>308</v>
      </c>
      <c r="C3" s="22"/>
      <c r="D3" s="22"/>
      <c r="E3" s="22"/>
      <c r="F3" s="22"/>
      <c r="G3" s="22"/>
      <c r="H3" s="22"/>
    </row>
    <row r="5" customFormat="false" ht="21.75" hidden="false" customHeight="true" outlineLevel="0" collapsed="false">
      <c r="B5" s="23" t="s">
        <v>117</v>
      </c>
      <c r="C5" s="23"/>
      <c r="D5" s="23"/>
      <c r="E5" s="23"/>
      <c r="F5" s="23"/>
      <c r="G5" s="23"/>
      <c r="H5" s="23"/>
    </row>
    <row r="6" customFormat="false" ht="15" hidden="false" customHeight="true" outlineLevel="0" collapsed="false">
      <c r="B6" s="24" t="s">
        <v>255</v>
      </c>
      <c r="C6" s="25" t="s">
        <v>309</v>
      </c>
      <c r="D6" s="25"/>
      <c r="E6" s="25"/>
      <c r="F6" s="25"/>
      <c r="G6" s="25"/>
      <c r="H6" s="25"/>
    </row>
    <row r="7" customFormat="false" ht="15" hidden="false" customHeight="true" outlineLevel="0" collapsed="false">
      <c r="B7" s="24" t="s">
        <v>118</v>
      </c>
      <c r="C7" s="25" t="s">
        <v>221</v>
      </c>
      <c r="D7" s="25"/>
      <c r="E7" s="25"/>
      <c r="F7" s="25"/>
      <c r="G7" s="25"/>
      <c r="H7" s="25"/>
    </row>
    <row r="8" customFormat="false" ht="15" hidden="false" customHeight="true" outlineLevel="0" collapsed="false">
      <c r="B8" s="24" t="s">
        <v>257</v>
      </c>
      <c r="C8" s="25" t="s">
        <v>285</v>
      </c>
      <c r="D8" s="25"/>
      <c r="E8" s="25"/>
      <c r="F8" s="25"/>
      <c r="G8" s="25"/>
      <c r="H8" s="25"/>
    </row>
    <row r="9" customFormat="false" ht="15" hidden="false" customHeight="true" outlineLevel="0" collapsed="false">
      <c r="B9" s="24" t="s">
        <v>122</v>
      </c>
      <c r="C9" s="25" t="s">
        <v>164</v>
      </c>
      <c r="D9" s="25"/>
      <c r="E9" s="25"/>
      <c r="F9" s="25"/>
      <c r="G9" s="25"/>
      <c r="H9" s="25"/>
    </row>
    <row r="10" customFormat="false" ht="15" hidden="false" customHeight="true" outlineLevel="0" collapsed="false">
      <c r="B10" s="24" t="s">
        <v>259</v>
      </c>
      <c r="C10" s="25" t="s">
        <v>310</v>
      </c>
      <c r="D10" s="25"/>
      <c r="E10" s="25"/>
      <c r="F10" s="25"/>
      <c r="G10" s="25"/>
      <c r="H10" s="25"/>
    </row>
    <row r="11" customFormat="false" ht="15" hidden="false" customHeight="true" outlineLevel="0" collapsed="false">
      <c r="B11" s="24" t="s">
        <v>126</v>
      </c>
      <c r="C11" s="25" t="s">
        <v>58</v>
      </c>
      <c r="D11" s="25"/>
      <c r="E11" s="25"/>
      <c r="F11" s="25"/>
      <c r="G11" s="25"/>
      <c r="H11" s="25"/>
    </row>
    <row r="12" customFormat="false" ht="15" hidden="false" customHeight="true" outlineLevel="0" collapsed="false">
      <c r="B12" s="24" t="s">
        <v>127</v>
      </c>
      <c r="C12" s="25" t="s">
        <v>288</v>
      </c>
      <c r="D12" s="25"/>
      <c r="E12" s="25"/>
      <c r="F12" s="25"/>
      <c r="G12" s="25"/>
      <c r="H12" s="25"/>
    </row>
    <row r="13" customFormat="false" ht="15" hidden="false" customHeight="true" outlineLevel="0" collapsed="false">
      <c r="B13" s="24" t="s">
        <v>131</v>
      </c>
      <c r="C13" s="25" t="s">
        <v>132</v>
      </c>
      <c r="D13" s="25"/>
      <c r="E13" s="25"/>
      <c r="F13" s="25"/>
      <c r="G13" s="25"/>
      <c r="H13" s="25"/>
    </row>
    <row r="14" customFormat="false" ht="15" hidden="false" customHeight="true" outlineLevel="0" collapsed="false">
      <c r="B14" s="24" t="s">
        <v>261</v>
      </c>
      <c r="C14" s="25" t="s">
        <v>203</v>
      </c>
      <c r="D14" s="25"/>
      <c r="E14" s="25"/>
      <c r="F14" s="25"/>
      <c r="G14" s="25"/>
      <c r="H14" s="25"/>
    </row>
    <row r="15" customFormat="false" ht="15" hidden="false" customHeight="true" outlineLevel="0" collapsed="false">
      <c r="B15" s="24" t="s">
        <v>129</v>
      </c>
      <c r="C15" s="25" t="s">
        <v>311</v>
      </c>
      <c r="D15" s="25"/>
      <c r="E15" s="25"/>
      <c r="F15" s="25"/>
      <c r="G15" s="25"/>
      <c r="H15" s="25"/>
    </row>
    <row r="16" customFormat="false" ht="15" hidden="false" customHeight="true" outlineLevel="0" collapsed="false">
      <c r="B16" s="24" t="s">
        <v>133</v>
      </c>
      <c r="C16" s="25" t="s">
        <v>134</v>
      </c>
      <c r="D16" s="25"/>
      <c r="E16" s="25"/>
      <c r="F16" s="25"/>
      <c r="G16" s="25"/>
      <c r="H16" s="25"/>
    </row>
    <row r="18" customFormat="false" ht="21.75" hidden="false" customHeight="true" outlineLevel="0" collapsed="false">
      <c r="B18" s="23" t="s">
        <v>135</v>
      </c>
      <c r="C18" s="23"/>
      <c r="D18" s="23"/>
      <c r="E18" s="23"/>
      <c r="F18" s="23"/>
      <c r="G18" s="23"/>
      <c r="H18" s="23"/>
    </row>
    <row r="19" customFormat="false" ht="19.5" hidden="false" customHeight="true" outlineLevel="0" collapsed="false">
      <c r="B19" s="33" t="s">
        <v>312</v>
      </c>
      <c r="C19" s="33"/>
      <c r="D19" s="33"/>
      <c r="E19" s="33"/>
      <c r="F19" s="33"/>
      <c r="G19" s="33"/>
      <c r="H19" s="33"/>
    </row>
    <row r="20" customFormat="false" ht="19.5" hidden="false" customHeight="true" outlineLevel="0" collapsed="false">
      <c r="B20" s="33"/>
      <c r="C20" s="33"/>
      <c r="D20" s="33"/>
      <c r="E20" s="33"/>
      <c r="F20" s="33"/>
      <c r="G20" s="33"/>
      <c r="H20" s="33"/>
    </row>
    <row r="21" customFormat="false" ht="19.5" hidden="false" customHeight="true" outlineLevel="0" collapsed="false">
      <c r="B21" s="33"/>
      <c r="C21" s="33"/>
      <c r="D21" s="33"/>
      <c r="E21" s="33"/>
      <c r="F21" s="33"/>
      <c r="G21" s="33"/>
      <c r="H21" s="33"/>
    </row>
    <row r="22" customFormat="false" ht="19.5" hidden="false" customHeight="true" outlineLevel="0" collapsed="false">
      <c r="B22" s="33"/>
      <c r="C22" s="33"/>
      <c r="D22" s="33"/>
      <c r="E22" s="33"/>
      <c r="F22" s="33"/>
      <c r="G22" s="33"/>
      <c r="H22" s="33"/>
    </row>
    <row r="23" customFormat="false" ht="19.5" hidden="false" customHeight="true" outlineLevel="0" collapsed="false">
      <c r="B23" s="33"/>
      <c r="C23" s="33"/>
      <c r="D23" s="33"/>
      <c r="E23" s="33"/>
      <c r="F23" s="33"/>
      <c r="G23" s="33"/>
      <c r="H23" s="33"/>
    </row>
    <row r="25" customFormat="false" ht="21.75" hidden="false" customHeight="true" outlineLevel="0" collapsed="false">
      <c r="B25" s="23" t="s">
        <v>137</v>
      </c>
      <c r="C25" s="23"/>
      <c r="D25" s="23"/>
      <c r="E25" s="23"/>
      <c r="F25" s="23"/>
      <c r="G25" s="23"/>
      <c r="H25" s="23"/>
    </row>
    <row r="26" customFormat="false" ht="30" hidden="false" customHeight="true" outlineLevel="0" collapsed="false">
      <c r="B26" s="27" t="s">
        <v>138</v>
      </c>
      <c r="C26" s="27" t="s">
        <v>264</v>
      </c>
      <c r="D26" s="27" t="s">
        <v>265</v>
      </c>
      <c r="E26" s="27" t="s">
        <v>141</v>
      </c>
      <c r="F26" s="27" t="s">
        <v>266</v>
      </c>
    </row>
    <row r="27" customFormat="false" ht="15" hidden="false" customHeight="true" outlineLevel="0" collapsed="false">
      <c r="B27" s="34" t="s">
        <v>267</v>
      </c>
      <c r="C27" s="34" t="n">
        <v>6</v>
      </c>
      <c r="D27" s="34" t="n">
        <v>0</v>
      </c>
      <c r="E27" s="34" t="n">
        <v>3</v>
      </c>
      <c r="F27" s="34" t="n">
        <v>1</v>
      </c>
    </row>
    <row r="28" customFormat="false" ht="15" hidden="false" customHeight="true" outlineLevel="0" collapsed="false">
      <c r="B28" s="29" t="s">
        <v>268</v>
      </c>
      <c r="C28" s="29" t="n">
        <v>6</v>
      </c>
      <c r="D28" s="29" t="n">
        <v>0</v>
      </c>
      <c r="E28" s="29" t="n">
        <v>3</v>
      </c>
      <c r="F28" s="29" t="n">
        <v>2</v>
      </c>
    </row>
    <row r="29" customFormat="false" ht="15" hidden="false" customHeight="true" outlineLevel="0" collapsed="false">
      <c r="B29" s="34" t="s">
        <v>269</v>
      </c>
      <c r="C29" s="34" t="n">
        <v>6</v>
      </c>
      <c r="D29" s="34" t="n">
        <v>0</v>
      </c>
      <c r="E29" s="34" t="n">
        <v>3</v>
      </c>
      <c r="F29" s="34" t="n">
        <v>3</v>
      </c>
    </row>
    <row r="30" customFormat="false" ht="15" hidden="false" customHeight="true" outlineLevel="0" collapsed="false">
      <c r="B30" s="29" t="s">
        <v>270</v>
      </c>
      <c r="C30" s="29" t="n">
        <v>6</v>
      </c>
      <c r="D30" s="29" t="n">
        <v>0</v>
      </c>
      <c r="E30" s="29" t="n">
        <v>3</v>
      </c>
      <c r="F30" s="29" t="n">
        <v>4</v>
      </c>
    </row>
    <row r="31" customFormat="false" ht="15" hidden="false" customHeight="true" outlineLevel="0" collapsed="false">
      <c r="B31" s="34" t="s">
        <v>271</v>
      </c>
      <c r="C31" s="34" t="n">
        <v>6</v>
      </c>
      <c r="D31" s="34" t="n">
        <v>0</v>
      </c>
      <c r="E31" s="34" t="n">
        <v>3</v>
      </c>
      <c r="F31" s="34" t="n">
        <v>5</v>
      </c>
    </row>
    <row r="32" customFormat="false" ht="15" hidden="false" customHeight="true" outlineLevel="0" collapsed="false">
      <c r="B32" s="35" t="s">
        <v>291</v>
      </c>
      <c r="C32" s="35" t="n">
        <v>4</v>
      </c>
      <c r="D32" s="35" t="n">
        <v>0</v>
      </c>
      <c r="E32" s="35" t="n">
        <v>2</v>
      </c>
      <c r="F32" s="35" t="s">
        <v>42</v>
      </c>
    </row>
    <row r="33" customFormat="false" ht="15" hidden="false" customHeight="true" outlineLevel="0" collapsed="false">
      <c r="B33" s="35" t="s">
        <v>292</v>
      </c>
      <c r="C33" s="35" t="n">
        <v>2</v>
      </c>
      <c r="D33" s="35" t="n">
        <v>0</v>
      </c>
      <c r="E33" s="35" t="n">
        <v>1</v>
      </c>
      <c r="F33" s="35" t="s">
        <v>42</v>
      </c>
    </row>
    <row r="35" customFormat="false" ht="30" hidden="false" customHeight="true" outlineLevel="0" collapsed="false">
      <c r="B35" s="9" t="s">
        <v>313</v>
      </c>
      <c r="C35" s="9"/>
      <c r="D35" s="9"/>
      <c r="E35" s="9"/>
      <c r="F35" s="9"/>
      <c r="G35" s="9"/>
      <c r="H35" s="9"/>
    </row>
    <row r="37" customFormat="false" ht="21.75" hidden="false" customHeight="true" outlineLevel="0" collapsed="false">
      <c r="B37" s="23" t="s">
        <v>144</v>
      </c>
      <c r="C37" s="23"/>
      <c r="D37" s="23"/>
      <c r="E37" s="23"/>
      <c r="F37" s="23"/>
      <c r="G37" s="23"/>
      <c r="H37" s="23"/>
    </row>
    <row r="38" customFormat="false" ht="19.5" hidden="false" customHeight="true" outlineLevel="0" collapsed="false">
      <c r="B38" s="30" t="s">
        <v>293</v>
      </c>
      <c r="C38" s="30"/>
      <c r="D38" s="30"/>
      <c r="E38" s="30"/>
      <c r="F38" s="30"/>
      <c r="G38" s="30"/>
      <c r="H38" s="30"/>
    </row>
    <row r="39" customFormat="false" ht="19.5" hidden="false" customHeight="true" outlineLevel="0" collapsed="false">
      <c r="B39" s="30"/>
      <c r="C39" s="30"/>
      <c r="D39" s="30"/>
      <c r="E39" s="30"/>
      <c r="F39" s="30"/>
      <c r="G39" s="30"/>
      <c r="H39" s="30"/>
    </row>
    <row r="40" customFormat="false" ht="19.5" hidden="false" customHeight="true" outlineLevel="0" collapsed="false">
      <c r="B40" s="30"/>
      <c r="C40" s="30"/>
      <c r="D40" s="30"/>
      <c r="E40" s="30"/>
      <c r="F40" s="30"/>
      <c r="G40" s="30"/>
      <c r="H40" s="30"/>
    </row>
    <row r="41" customFormat="false" ht="19.5" hidden="false" customHeight="true" outlineLevel="0" collapsed="false">
      <c r="B41" s="30"/>
      <c r="C41" s="30"/>
      <c r="D41" s="30"/>
      <c r="E41" s="30"/>
      <c r="F41" s="30"/>
      <c r="G41" s="30"/>
      <c r="H41" s="30"/>
    </row>
    <row r="42" customFormat="false" ht="19.5" hidden="false" customHeight="true" outlineLevel="0" collapsed="false">
      <c r="B42" s="30"/>
      <c r="C42" s="30"/>
      <c r="D42" s="30"/>
      <c r="E42" s="30"/>
      <c r="F42" s="30"/>
      <c r="G42" s="30"/>
      <c r="H42" s="30"/>
    </row>
    <row r="43" customFormat="false" ht="19.5" hidden="false" customHeight="true" outlineLevel="0" collapsed="false">
      <c r="B43" s="30"/>
      <c r="C43" s="30"/>
      <c r="D43" s="30"/>
      <c r="E43" s="30"/>
      <c r="F43" s="30"/>
      <c r="G43" s="30"/>
      <c r="H43" s="30"/>
    </row>
    <row r="45" customFormat="false" ht="21.75" hidden="false" customHeight="true" outlineLevel="0" collapsed="false">
      <c r="B45" s="23" t="s">
        <v>146</v>
      </c>
      <c r="C45" s="23"/>
      <c r="D45" s="23"/>
      <c r="E45" s="23"/>
      <c r="F45" s="23"/>
      <c r="G45" s="23"/>
      <c r="H45" s="23"/>
    </row>
    <row r="46" customFormat="false" ht="36" hidden="false" customHeight="true" outlineLevel="0" collapsed="false">
      <c r="B46" s="31" t="s">
        <v>147</v>
      </c>
      <c r="C46" s="32" t="s">
        <v>314</v>
      </c>
      <c r="D46" s="32"/>
      <c r="E46" s="32"/>
      <c r="F46" s="32"/>
      <c r="G46" s="32"/>
      <c r="H46" s="32"/>
    </row>
    <row r="47" customFormat="false" ht="36" hidden="false" customHeight="true" outlineLevel="0" collapsed="false">
      <c r="B47" s="31" t="s">
        <v>149</v>
      </c>
      <c r="C47" s="32" t="s">
        <v>315</v>
      </c>
      <c r="D47" s="32"/>
      <c r="E47" s="32"/>
      <c r="F47" s="32"/>
      <c r="G47" s="32"/>
      <c r="H47" s="32"/>
    </row>
    <row r="48" customFormat="false" ht="36" hidden="false" customHeight="true" outlineLevel="0" collapsed="false">
      <c r="B48" s="31" t="s">
        <v>151</v>
      </c>
      <c r="C48" s="32" t="s">
        <v>296</v>
      </c>
      <c r="D48" s="32"/>
      <c r="E48" s="32"/>
      <c r="F48" s="32"/>
      <c r="G48" s="32"/>
      <c r="H48" s="32"/>
    </row>
    <row r="49" customFormat="false" ht="36" hidden="false" customHeight="true" outlineLevel="0" collapsed="false">
      <c r="B49" s="31" t="s">
        <v>153</v>
      </c>
      <c r="C49" s="32" t="s">
        <v>306</v>
      </c>
      <c r="D49" s="32"/>
      <c r="E49" s="32"/>
      <c r="F49" s="32"/>
      <c r="G49" s="32"/>
      <c r="H49" s="32"/>
    </row>
    <row r="50" customFormat="false" ht="36" hidden="false" customHeight="true" outlineLevel="0" collapsed="false">
      <c r="B50" s="31" t="s">
        <v>155</v>
      </c>
      <c r="C50" s="32" t="s">
        <v>279</v>
      </c>
      <c r="D50" s="32"/>
      <c r="E50" s="32"/>
      <c r="F50" s="32"/>
      <c r="G50" s="32"/>
      <c r="H50" s="32"/>
    </row>
    <row r="51" customFormat="false" ht="36" hidden="false" customHeight="true" outlineLevel="0" collapsed="false">
      <c r="B51" s="31" t="s">
        <v>157</v>
      </c>
      <c r="C51" s="32" t="s">
        <v>298</v>
      </c>
      <c r="D51" s="32"/>
      <c r="E51" s="32"/>
      <c r="F51" s="32"/>
      <c r="G51" s="32"/>
      <c r="H51" s="32"/>
    </row>
    <row r="52" customFormat="false" ht="36" hidden="false" customHeight="true" outlineLevel="0" collapsed="false">
      <c r="B52" s="31" t="s">
        <v>159</v>
      </c>
      <c r="C52" s="32" t="s">
        <v>281</v>
      </c>
      <c r="D52" s="32"/>
      <c r="E52" s="32"/>
      <c r="F52" s="32"/>
      <c r="G52" s="32"/>
      <c r="H52" s="32"/>
    </row>
  </sheetData>
  <mergeCells count="28">
    <mergeCell ref="B2:H2"/>
    <mergeCell ref="B3:H3"/>
    <mergeCell ref="B5:H5"/>
    <mergeCell ref="C6:H6"/>
    <mergeCell ref="C7:H7"/>
    <mergeCell ref="C8:H8"/>
    <mergeCell ref="C9:H9"/>
    <mergeCell ref="C10:H10"/>
    <mergeCell ref="C11:H11"/>
    <mergeCell ref="C12:H12"/>
    <mergeCell ref="C13:H13"/>
    <mergeCell ref="C14:H14"/>
    <mergeCell ref="C15:H15"/>
    <mergeCell ref="C16:H16"/>
    <mergeCell ref="B18:H18"/>
    <mergeCell ref="B19:H23"/>
    <mergeCell ref="B25:H25"/>
    <mergeCell ref="B35:H35"/>
    <mergeCell ref="B37:H37"/>
    <mergeCell ref="B38:H43"/>
    <mergeCell ref="B45:H45"/>
    <mergeCell ref="C46:H46"/>
    <mergeCell ref="C47:H47"/>
    <mergeCell ref="C48:H48"/>
    <mergeCell ref="C49:H49"/>
    <mergeCell ref="C50:H50"/>
    <mergeCell ref="C51:H51"/>
    <mergeCell ref="C52:H5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H5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22"/>
    <col collapsed="false" customWidth="true" hidden="false" outlineLevel="0" max="8" min="3" style="1" width="14"/>
  </cols>
  <sheetData>
    <row r="2" customFormat="false" ht="24" hidden="false" customHeight="true" outlineLevel="0" collapsed="false">
      <c r="B2" s="21" t="s">
        <v>316</v>
      </c>
      <c r="C2" s="21"/>
      <c r="D2" s="21"/>
      <c r="E2" s="21"/>
      <c r="F2" s="21"/>
      <c r="G2" s="21"/>
      <c r="H2" s="21"/>
    </row>
    <row r="3" customFormat="false" ht="15" hidden="false" customHeight="true" outlineLevel="0" collapsed="false">
      <c r="B3" s="22" t="s">
        <v>317</v>
      </c>
      <c r="C3" s="22"/>
      <c r="D3" s="22"/>
      <c r="E3" s="22"/>
      <c r="F3" s="22"/>
      <c r="G3" s="22"/>
      <c r="H3" s="22"/>
    </row>
    <row r="5" customFormat="false" ht="21.75" hidden="false" customHeight="true" outlineLevel="0" collapsed="false">
      <c r="B5" s="23" t="s">
        <v>117</v>
      </c>
      <c r="C5" s="23"/>
      <c r="D5" s="23"/>
      <c r="E5" s="23"/>
      <c r="F5" s="23"/>
      <c r="G5" s="23"/>
      <c r="H5" s="23"/>
    </row>
    <row r="6" customFormat="false" ht="15" hidden="false" customHeight="true" outlineLevel="0" collapsed="false">
      <c r="B6" s="24" t="s">
        <v>255</v>
      </c>
      <c r="C6" s="25" t="s">
        <v>318</v>
      </c>
      <c r="D6" s="25"/>
      <c r="E6" s="25"/>
      <c r="F6" s="25"/>
      <c r="G6" s="25"/>
      <c r="H6" s="25"/>
    </row>
    <row r="7" customFormat="false" ht="15" hidden="false" customHeight="true" outlineLevel="0" collapsed="false">
      <c r="B7" s="24" t="s">
        <v>118</v>
      </c>
      <c r="C7" s="25" t="s">
        <v>221</v>
      </c>
      <c r="D7" s="25"/>
      <c r="E7" s="25"/>
      <c r="F7" s="25"/>
      <c r="G7" s="25"/>
      <c r="H7" s="25"/>
    </row>
    <row r="8" customFormat="false" ht="15" hidden="false" customHeight="true" outlineLevel="0" collapsed="false">
      <c r="B8" s="24" t="s">
        <v>257</v>
      </c>
      <c r="C8" s="25" t="s">
        <v>319</v>
      </c>
      <c r="D8" s="25"/>
      <c r="E8" s="25"/>
      <c r="F8" s="25"/>
      <c r="G8" s="25"/>
      <c r="H8" s="25"/>
    </row>
    <row r="9" customFormat="false" ht="15" hidden="false" customHeight="true" outlineLevel="0" collapsed="false">
      <c r="B9" s="24" t="s">
        <v>122</v>
      </c>
      <c r="C9" s="25" t="s">
        <v>132</v>
      </c>
      <c r="D9" s="25"/>
      <c r="E9" s="25"/>
      <c r="F9" s="25"/>
      <c r="G9" s="25"/>
      <c r="H9" s="25"/>
    </row>
    <row r="10" customFormat="false" ht="15" hidden="false" customHeight="true" outlineLevel="0" collapsed="false">
      <c r="B10" s="24" t="s">
        <v>259</v>
      </c>
      <c r="C10" s="25" t="s">
        <v>125</v>
      </c>
      <c r="D10" s="25"/>
      <c r="E10" s="25"/>
      <c r="F10" s="25"/>
      <c r="G10" s="25"/>
      <c r="H10" s="25"/>
    </row>
    <row r="11" customFormat="false" ht="15" hidden="false" customHeight="true" outlineLevel="0" collapsed="false">
      <c r="B11" s="24" t="s">
        <v>126</v>
      </c>
      <c r="C11" s="25" t="s">
        <v>58</v>
      </c>
      <c r="D11" s="25"/>
      <c r="E11" s="25"/>
      <c r="F11" s="25"/>
      <c r="G11" s="25"/>
      <c r="H11" s="25"/>
    </row>
    <row r="12" customFormat="false" ht="15" hidden="false" customHeight="true" outlineLevel="0" collapsed="false">
      <c r="B12" s="24" t="s">
        <v>127</v>
      </c>
      <c r="C12" s="25" t="s">
        <v>288</v>
      </c>
      <c r="D12" s="25"/>
      <c r="E12" s="25"/>
      <c r="F12" s="25"/>
      <c r="G12" s="25"/>
      <c r="H12" s="25"/>
    </row>
    <row r="13" customFormat="false" ht="15" hidden="false" customHeight="true" outlineLevel="0" collapsed="false">
      <c r="B13" s="24" t="s">
        <v>131</v>
      </c>
      <c r="C13" s="25" t="s">
        <v>214</v>
      </c>
      <c r="D13" s="25"/>
      <c r="E13" s="25"/>
      <c r="F13" s="25"/>
      <c r="G13" s="25"/>
      <c r="H13" s="25"/>
    </row>
    <row r="14" customFormat="false" ht="15" hidden="false" customHeight="true" outlineLevel="0" collapsed="false">
      <c r="B14" s="24" t="s">
        <v>261</v>
      </c>
      <c r="C14" s="25" t="s">
        <v>130</v>
      </c>
      <c r="D14" s="25"/>
      <c r="E14" s="25"/>
      <c r="F14" s="25"/>
      <c r="G14" s="25"/>
      <c r="H14" s="25"/>
    </row>
    <row r="15" customFormat="false" ht="15" hidden="false" customHeight="true" outlineLevel="0" collapsed="false">
      <c r="B15" s="24" t="s">
        <v>129</v>
      </c>
      <c r="C15" s="25" t="s">
        <v>320</v>
      </c>
      <c r="D15" s="25"/>
      <c r="E15" s="25"/>
      <c r="F15" s="25"/>
      <c r="G15" s="25"/>
      <c r="H15" s="25"/>
    </row>
    <row r="16" customFormat="false" ht="15" hidden="false" customHeight="true" outlineLevel="0" collapsed="false">
      <c r="B16" s="24" t="s">
        <v>133</v>
      </c>
      <c r="C16" s="25" t="s">
        <v>215</v>
      </c>
      <c r="D16" s="25"/>
      <c r="E16" s="25"/>
      <c r="F16" s="25"/>
      <c r="G16" s="25"/>
      <c r="H16" s="25"/>
    </row>
    <row r="18" customFormat="false" ht="21.75" hidden="false" customHeight="true" outlineLevel="0" collapsed="false">
      <c r="B18" s="23" t="s">
        <v>135</v>
      </c>
      <c r="C18" s="23"/>
      <c r="D18" s="23"/>
      <c r="E18" s="23"/>
      <c r="F18" s="23"/>
      <c r="G18" s="23"/>
      <c r="H18" s="23"/>
    </row>
    <row r="19" customFormat="false" ht="19.5" hidden="false" customHeight="true" outlineLevel="0" collapsed="false">
      <c r="B19" s="33" t="s">
        <v>321</v>
      </c>
      <c r="C19" s="33"/>
      <c r="D19" s="33"/>
      <c r="E19" s="33"/>
      <c r="F19" s="33"/>
      <c r="G19" s="33"/>
      <c r="H19" s="33"/>
    </row>
    <row r="20" customFormat="false" ht="19.5" hidden="false" customHeight="true" outlineLevel="0" collapsed="false">
      <c r="B20" s="33"/>
      <c r="C20" s="33"/>
      <c r="D20" s="33"/>
      <c r="E20" s="33"/>
      <c r="F20" s="33"/>
      <c r="G20" s="33"/>
      <c r="H20" s="33"/>
    </row>
    <row r="21" customFormat="false" ht="19.5" hidden="false" customHeight="true" outlineLevel="0" collapsed="false">
      <c r="B21" s="33"/>
      <c r="C21" s="33"/>
      <c r="D21" s="33"/>
      <c r="E21" s="33"/>
      <c r="F21" s="33"/>
      <c r="G21" s="33"/>
      <c r="H21" s="33"/>
    </row>
    <row r="22" customFormat="false" ht="19.5" hidden="false" customHeight="true" outlineLevel="0" collapsed="false">
      <c r="B22" s="33"/>
      <c r="C22" s="33"/>
      <c r="D22" s="33"/>
      <c r="E22" s="33"/>
      <c r="F22" s="33"/>
      <c r="G22" s="33"/>
      <c r="H22" s="33"/>
    </row>
    <row r="23" customFormat="false" ht="19.5" hidden="false" customHeight="true" outlineLevel="0" collapsed="false">
      <c r="B23" s="33"/>
      <c r="C23" s="33"/>
      <c r="D23" s="33"/>
      <c r="E23" s="33"/>
      <c r="F23" s="33"/>
      <c r="G23" s="33"/>
      <c r="H23" s="33"/>
    </row>
    <row r="25" customFormat="false" ht="21.75" hidden="false" customHeight="true" outlineLevel="0" collapsed="false">
      <c r="B25" s="23" t="s">
        <v>137</v>
      </c>
      <c r="C25" s="23"/>
      <c r="D25" s="23"/>
      <c r="E25" s="23"/>
      <c r="F25" s="23"/>
      <c r="G25" s="23"/>
      <c r="H25" s="23"/>
    </row>
    <row r="26" customFormat="false" ht="30" hidden="false" customHeight="true" outlineLevel="0" collapsed="false">
      <c r="B26" s="27" t="s">
        <v>138</v>
      </c>
      <c r="C26" s="27" t="s">
        <v>264</v>
      </c>
      <c r="D26" s="27" t="s">
        <v>265</v>
      </c>
      <c r="E26" s="27" t="s">
        <v>141</v>
      </c>
      <c r="F26" s="27" t="s">
        <v>266</v>
      </c>
    </row>
    <row r="27" customFormat="false" ht="15" hidden="false" customHeight="true" outlineLevel="0" collapsed="false">
      <c r="B27" s="34" t="s">
        <v>267</v>
      </c>
      <c r="C27" s="34" t="n">
        <v>6</v>
      </c>
      <c r="D27" s="34" t="n">
        <v>1</v>
      </c>
      <c r="E27" s="34" t="n">
        <v>3</v>
      </c>
      <c r="F27" s="34" t="n">
        <v>1</v>
      </c>
    </row>
    <row r="28" customFormat="false" ht="15" hidden="false" customHeight="true" outlineLevel="0" collapsed="false">
      <c r="B28" s="29" t="s">
        <v>268</v>
      </c>
      <c r="C28" s="29" t="n">
        <v>6</v>
      </c>
      <c r="D28" s="29" t="n">
        <v>1</v>
      </c>
      <c r="E28" s="29" t="n">
        <v>3</v>
      </c>
      <c r="F28" s="29" t="n">
        <v>2</v>
      </c>
    </row>
    <row r="29" customFormat="false" ht="15" hidden="false" customHeight="true" outlineLevel="0" collapsed="false">
      <c r="B29" s="34" t="s">
        <v>269</v>
      </c>
      <c r="C29" s="34" t="n">
        <v>6</v>
      </c>
      <c r="D29" s="34" t="n">
        <v>1</v>
      </c>
      <c r="E29" s="34" t="n">
        <v>3</v>
      </c>
      <c r="F29" s="34" t="n">
        <v>3</v>
      </c>
    </row>
    <row r="30" customFormat="false" ht="15" hidden="false" customHeight="true" outlineLevel="0" collapsed="false">
      <c r="B30" s="29" t="s">
        <v>270</v>
      </c>
      <c r="C30" s="29" t="n">
        <v>6</v>
      </c>
      <c r="D30" s="29" t="n">
        <v>1</v>
      </c>
      <c r="E30" s="29" t="n">
        <v>3</v>
      </c>
      <c r="F30" s="29" t="n">
        <v>4</v>
      </c>
    </row>
    <row r="31" customFormat="false" ht="15" hidden="false" customHeight="true" outlineLevel="0" collapsed="false">
      <c r="B31" s="34" t="s">
        <v>271</v>
      </c>
      <c r="C31" s="34" t="n">
        <v>6</v>
      </c>
      <c r="D31" s="34" t="n">
        <v>1</v>
      </c>
      <c r="E31" s="34" t="n">
        <v>3</v>
      </c>
      <c r="F31" s="34" t="n">
        <v>5</v>
      </c>
    </row>
    <row r="32" customFormat="false" ht="15" hidden="false" customHeight="true" outlineLevel="0" collapsed="false">
      <c r="B32" s="29" t="s">
        <v>272</v>
      </c>
      <c r="C32" s="29" t="n">
        <v>6</v>
      </c>
      <c r="D32" s="29" t="n">
        <v>1</v>
      </c>
      <c r="E32" s="29" t="n">
        <v>3</v>
      </c>
      <c r="F32" s="29" t="n">
        <v>6</v>
      </c>
    </row>
    <row r="33" customFormat="false" ht="15" hidden="false" customHeight="true" outlineLevel="0" collapsed="false">
      <c r="B33" s="34" t="s">
        <v>322</v>
      </c>
      <c r="C33" s="34" t="n">
        <v>6</v>
      </c>
      <c r="D33" s="34" t="n">
        <v>1</v>
      </c>
      <c r="E33" s="34" t="n">
        <v>3</v>
      </c>
      <c r="F33" s="34" t="n">
        <v>6</v>
      </c>
    </row>
    <row r="34" customFormat="false" ht="15" hidden="false" customHeight="true" outlineLevel="0" collapsed="false">
      <c r="B34" s="35" t="s">
        <v>291</v>
      </c>
      <c r="C34" s="35" t="n">
        <v>4</v>
      </c>
      <c r="D34" s="35" t="n">
        <v>0</v>
      </c>
      <c r="E34" s="35" t="n">
        <v>2</v>
      </c>
      <c r="F34" s="35" t="s">
        <v>42</v>
      </c>
    </row>
    <row r="35" customFormat="false" ht="15" hidden="false" customHeight="true" outlineLevel="0" collapsed="false">
      <c r="B35" s="35" t="s">
        <v>292</v>
      </c>
      <c r="C35" s="35" t="n">
        <v>2</v>
      </c>
      <c r="D35" s="35" t="n">
        <v>0</v>
      </c>
      <c r="E35" s="35" t="n">
        <v>1</v>
      </c>
      <c r="F35" s="35" t="s">
        <v>42</v>
      </c>
    </row>
    <row r="37" customFormat="false" ht="30" hidden="false" customHeight="true" outlineLevel="0" collapsed="false">
      <c r="B37" s="9" t="s">
        <v>323</v>
      </c>
      <c r="C37" s="9"/>
      <c r="D37" s="9"/>
      <c r="E37" s="9"/>
      <c r="F37" s="9"/>
      <c r="G37" s="9"/>
      <c r="H37" s="9"/>
    </row>
    <row r="39" customFormat="false" ht="21.75" hidden="false" customHeight="true" outlineLevel="0" collapsed="false">
      <c r="B39" s="23" t="s">
        <v>144</v>
      </c>
      <c r="C39" s="23"/>
      <c r="D39" s="23"/>
      <c r="E39" s="23"/>
      <c r="F39" s="23"/>
      <c r="G39" s="23"/>
      <c r="H39" s="23"/>
    </row>
    <row r="40" customFormat="false" ht="19.5" hidden="false" customHeight="true" outlineLevel="0" collapsed="false">
      <c r="B40" s="30" t="s">
        <v>293</v>
      </c>
      <c r="C40" s="30"/>
      <c r="D40" s="30"/>
      <c r="E40" s="30"/>
      <c r="F40" s="30"/>
      <c r="G40" s="30"/>
      <c r="H40" s="30"/>
    </row>
    <row r="41" customFormat="false" ht="19.5" hidden="false" customHeight="true" outlineLevel="0" collapsed="false">
      <c r="B41" s="30"/>
      <c r="C41" s="30"/>
      <c r="D41" s="30"/>
      <c r="E41" s="30"/>
      <c r="F41" s="30"/>
      <c r="G41" s="30"/>
      <c r="H41" s="30"/>
    </row>
    <row r="42" customFormat="false" ht="19.5" hidden="false" customHeight="true" outlineLevel="0" collapsed="false">
      <c r="B42" s="30"/>
      <c r="C42" s="30"/>
      <c r="D42" s="30"/>
      <c r="E42" s="30"/>
      <c r="F42" s="30"/>
      <c r="G42" s="30"/>
      <c r="H42" s="30"/>
    </row>
    <row r="43" customFormat="false" ht="19.5" hidden="false" customHeight="true" outlineLevel="0" collapsed="false">
      <c r="B43" s="30"/>
      <c r="C43" s="30"/>
      <c r="D43" s="30"/>
      <c r="E43" s="30"/>
      <c r="F43" s="30"/>
      <c r="G43" s="30"/>
      <c r="H43" s="30"/>
    </row>
    <row r="44" customFormat="false" ht="19.5" hidden="false" customHeight="true" outlineLevel="0" collapsed="false">
      <c r="B44" s="30"/>
      <c r="C44" s="30"/>
      <c r="D44" s="30"/>
      <c r="E44" s="30"/>
      <c r="F44" s="30"/>
      <c r="G44" s="30"/>
      <c r="H44" s="30"/>
    </row>
    <row r="45" customFormat="false" ht="19.5" hidden="false" customHeight="true" outlineLevel="0" collapsed="false">
      <c r="B45" s="30"/>
      <c r="C45" s="30"/>
      <c r="D45" s="30"/>
      <c r="E45" s="30"/>
      <c r="F45" s="30"/>
      <c r="G45" s="30"/>
      <c r="H45" s="30"/>
    </row>
    <row r="47" customFormat="false" ht="21.75" hidden="false" customHeight="true" outlineLevel="0" collapsed="false">
      <c r="B47" s="23" t="s">
        <v>146</v>
      </c>
      <c r="C47" s="23"/>
      <c r="D47" s="23"/>
      <c r="E47" s="23"/>
      <c r="F47" s="23"/>
      <c r="G47" s="23"/>
      <c r="H47" s="23"/>
    </row>
    <row r="48" customFormat="false" ht="36" hidden="false" customHeight="true" outlineLevel="0" collapsed="false">
      <c r="B48" s="31" t="s">
        <v>147</v>
      </c>
      <c r="C48" s="32" t="s">
        <v>324</v>
      </c>
      <c r="D48" s="32"/>
      <c r="E48" s="32"/>
      <c r="F48" s="32"/>
      <c r="G48" s="32"/>
      <c r="H48" s="32"/>
    </row>
    <row r="49" customFormat="false" ht="36" hidden="false" customHeight="true" outlineLevel="0" collapsed="false">
      <c r="B49" s="31" t="s">
        <v>149</v>
      </c>
      <c r="C49" s="32" t="s">
        <v>315</v>
      </c>
      <c r="D49" s="32"/>
      <c r="E49" s="32"/>
      <c r="F49" s="32"/>
      <c r="G49" s="32"/>
      <c r="H49" s="32"/>
    </row>
    <row r="50" customFormat="false" ht="36" hidden="false" customHeight="true" outlineLevel="0" collapsed="false">
      <c r="B50" s="31" t="s">
        <v>151</v>
      </c>
      <c r="C50" s="32" t="s">
        <v>325</v>
      </c>
      <c r="D50" s="32"/>
      <c r="E50" s="32"/>
      <c r="F50" s="32"/>
      <c r="G50" s="32"/>
      <c r="H50" s="32"/>
    </row>
    <row r="51" customFormat="false" ht="36" hidden="false" customHeight="true" outlineLevel="0" collapsed="false">
      <c r="B51" s="31" t="s">
        <v>153</v>
      </c>
      <c r="C51" s="32" t="s">
        <v>326</v>
      </c>
      <c r="D51" s="32"/>
      <c r="E51" s="32"/>
      <c r="F51" s="32"/>
      <c r="G51" s="32"/>
      <c r="H51" s="32"/>
    </row>
    <row r="52" customFormat="false" ht="36" hidden="false" customHeight="true" outlineLevel="0" collapsed="false">
      <c r="B52" s="31" t="s">
        <v>155</v>
      </c>
      <c r="C52" s="32" t="s">
        <v>279</v>
      </c>
      <c r="D52" s="32"/>
      <c r="E52" s="32"/>
      <c r="F52" s="32"/>
      <c r="G52" s="32"/>
      <c r="H52" s="32"/>
    </row>
    <row r="53" customFormat="false" ht="36" hidden="false" customHeight="true" outlineLevel="0" collapsed="false">
      <c r="B53" s="31" t="s">
        <v>157</v>
      </c>
      <c r="C53" s="32" t="s">
        <v>298</v>
      </c>
      <c r="D53" s="32"/>
      <c r="E53" s="32"/>
      <c r="F53" s="32"/>
      <c r="G53" s="32"/>
      <c r="H53" s="32"/>
    </row>
    <row r="54" customFormat="false" ht="36" hidden="false" customHeight="true" outlineLevel="0" collapsed="false">
      <c r="B54" s="31" t="s">
        <v>159</v>
      </c>
      <c r="C54" s="32" t="s">
        <v>281</v>
      </c>
      <c r="D54" s="32"/>
      <c r="E54" s="32"/>
      <c r="F54" s="32"/>
      <c r="G54" s="32"/>
      <c r="H54" s="32"/>
    </row>
  </sheetData>
  <mergeCells count="28">
    <mergeCell ref="B2:H2"/>
    <mergeCell ref="B3:H3"/>
    <mergeCell ref="B5:H5"/>
    <mergeCell ref="C6:H6"/>
    <mergeCell ref="C7:H7"/>
    <mergeCell ref="C8:H8"/>
    <mergeCell ref="C9:H9"/>
    <mergeCell ref="C10:H10"/>
    <mergeCell ref="C11:H11"/>
    <mergeCell ref="C12:H12"/>
    <mergeCell ref="C13:H13"/>
    <mergeCell ref="C14:H14"/>
    <mergeCell ref="C15:H15"/>
    <mergeCell ref="C16:H16"/>
    <mergeCell ref="B18:H18"/>
    <mergeCell ref="B19:H23"/>
    <mergeCell ref="B25:H25"/>
    <mergeCell ref="B37:H37"/>
    <mergeCell ref="B39:H39"/>
    <mergeCell ref="B40:H45"/>
    <mergeCell ref="B47:H47"/>
    <mergeCell ref="C48:H48"/>
    <mergeCell ref="C49:H49"/>
    <mergeCell ref="C50:H50"/>
    <mergeCell ref="C51:H51"/>
    <mergeCell ref="C52:H52"/>
    <mergeCell ref="C53:H53"/>
    <mergeCell ref="C54:H5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H5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22"/>
    <col collapsed="false" customWidth="true" hidden="false" outlineLevel="0" max="8" min="3" style="1" width="14"/>
  </cols>
  <sheetData>
    <row r="2" customFormat="false" ht="24" hidden="false" customHeight="true" outlineLevel="0" collapsed="false">
      <c r="B2" s="21" t="s">
        <v>327</v>
      </c>
      <c r="C2" s="21"/>
      <c r="D2" s="21"/>
      <c r="E2" s="21"/>
      <c r="F2" s="21"/>
      <c r="G2" s="21"/>
      <c r="H2" s="21"/>
    </row>
    <row r="3" customFormat="false" ht="15" hidden="false" customHeight="true" outlineLevel="0" collapsed="false">
      <c r="B3" s="22" t="s">
        <v>328</v>
      </c>
      <c r="C3" s="22"/>
      <c r="D3" s="22"/>
      <c r="E3" s="22"/>
      <c r="F3" s="22"/>
      <c r="G3" s="22"/>
      <c r="H3" s="22"/>
    </row>
    <row r="5" customFormat="false" ht="21.75" hidden="false" customHeight="true" outlineLevel="0" collapsed="false">
      <c r="B5" s="23" t="s">
        <v>117</v>
      </c>
      <c r="C5" s="23"/>
      <c r="D5" s="23"/>
      <c r="E5" s="23"/>
      <c r="F5" s="23"/>
      <c r="G5" s="23"/>
      <c r="H5" s="23"/>
    </row>
    <row r="6" customFormat="false" ht="15" hidden="false" customHeight="true" outlineLevel="0" collapsed="false">
      <c r="B6" s="24" t="s">
        <v>255</v>
      </c>
      <c r="C6" s="25" t="s">
        <v>329</v>
      </c>
      <c r="D6" s="25"/>
      <c r="E6" s="25"/>
      <c r="F6" s="25"/>
      <c r="G6" s="25"/>
      <c r="H6" s="25"/>
    </row>
    <row r="7" customFormat="false" ht="15" hidden="false" customHeight="true" outlineLevel="0" collapsed="false">
      <c r="B7" s="24" t="s">
        <v>118</v>
      </c>
      <c r="C7" s="25" t="s">
        <v>241</v>
      </c>
      <c r="D7" s="25"/>
      <c r="E7" s="25"/>
      <c r="F7" s="25"/>
      <c r="G7" s="25"/>
      <c r="H7" s="25"/>
    </row>
    <row r="8" customFormat="false" ht="15" hidden="false" customHeight="true" outlineLevel="0" collapsed="false">
      <c r="B8" s="24" t="s">
        <v>257</v>
      </c>
      <c r="C8" s="25" t="s">
        <v>330</v>
      </c>
      <c r="D8" s="25"/>
      <c r="E8" s="25"/>
      <c r="F8" s="25"/>
      <c r="G8" s="25"/>
      <c r="H8" s="25"/>
    </row>
    <row r="9" customFormat="false" ht="15" hidden="false" customHeight="true" outlineLevel="0" collapsed="false">
      <c r="B9" s="24" t="s">
        <v>122</v>
      </c>
      <c r="C9" s="25" t="s">
        <v>331</v>
      </c>
      <c r="D9" s="25"/>
      <c r="E9" s="25"/>
      <c r="F9" s="25"/>
      <c r="G9" s="25"/>
      <c r="H9" s="25"/>
    </row>
    <row r="10" customFormat="false" ht="15" hidden="false" customHeight="true" outlineLevel="0" collapsed="false">
      <c r="B10" s="24" t="s">
        <v>259</v>
      </c>
      <c r="C10" s="25" t="s">
        <v>165</v>
      </c>
      <c r="D10" s="25"/>
      <c r="E10" s="25"/>
      <c r="F10" s="25"/>
      <c r="G10" s="25"/>
      <c r="H10" s="25"/>
    </row>
    <row r="11" customFormat="false" ht="15" hidden="false" customHeight="true" outlineLevel="0" collapsed="false">
      <c r="B11" s="24" t="s">
        <v>126</v>
      </c>
      <c r="C11" s="25" t="s">
        <v>58</v>
      </c>
      <c r="D11" s="25"/>
      <c r="E11" s="25"/>
      <c r="F11" s="25"/>
      <c r="G11" s="25"/>
      <c r="H11" s="25"/>
    </row>
    <row r="12" customFormat="false" ht="15" hidden="false" customHeight="true" outlineLevel="0" collapsed="false">
      <c r="B12" s="24" t="s">
        <v>127</v>
      </c>
      <c r="C12" s="25" t="s">
        <v>288</v>
      </c>
      <c r="D12" s="25"/>
      <c r="E12" s="25"/>
      <c r="F12" s="25"/>
      <c r="G12" s="25"/>
      <c r="H12" s="25"/>
    </row>
    <row r="13" customFormat="false" ht="15" hidden="false" customHeight="true" outlineLevel="0" collapsed="false">
      <c r="B13" s="24" t="s">
        <v>131</v>
      </c>
      <c r="C13" s="25" t="s">
        <v>123</v>
      </c>
      <c r="D13" s="25"/>
      <c r="E13" s="25"/>
      <c r="F13" s="25"/>
      <c r="G13" s="25"/>
      <c r="H13" s="25"/>
    </row>
    <row r="14" customFormat="false" ht="15" hidden="false" customHeight="true" outlineLevel="0" collapsed="false">
      <c r="B14" s="24" t="s">
        <v>261</v>
      </c>
      <c r="C14" s="25" t="s">
        <v>166</v>
      </c>
      <c r="D14" s="25"/>
      <c r="E14" s="25"/>
      <c r="F14" s="25"/>
      <c r="G14" s="25"/>
      <c r="H14" s="25"/>
    </row>
    <row r="15" customFormat="false" ht="15" hidden="false" customHeight="true" outlineLevel="0" collapsed="false">
      <c r="B15" s="24" t="s">
        <v>129</v>
      </c>
      <c r="C15" s="25" t="s">
        <v>262</v>
      </c>
      <c r="D15" s="25"/>
      <c r="E15" s="25"/>
      <c r="F15" s="25"/>
      <c r="G15" s="25"/>
      <c r="H15" s="25"/>
    </row>
    <row r="16" customFormat="false" ht="15" hidden="false" customHeight="true" outlineLevel="0" collapsed="false">
      <c r="B16" s="24" t="s">
        <v>133</v>
      </c>
      <c r="C16" s="25" t="s">
        <v>167</v>
      </c>
      <c r="D16" s="25"/>
      <c r="E16" s="25"/>
      <c r="F16" s="25"/>
      <c r="G16" s="25"/>
      <c r="H16" s="25"/>
    </row>
    <row r="18" customFormat="false" ht="21.75" hidden="false" customHeight="true" outlineLevel="0" collapsed="false">
      <c r="B18" s="23" t="s">
        <v>135</v>
      </c>
      <c r="C18" s="23"/>
      <c r="D18" s="23"/>
      <c r="E18" s="23"/>
      <c r="F18" s="23"/>
      <c r="G18" s="23"/>
      <c r="H18" s="23"/>
    </row>
    <row r="19" customFormat="false" ht="19.5" hidden="false" customHeight="true" outlineLevel="0" collapsed="false">
      <c r="B19" s="33" t="s">
        <v>332</v>
      </c>
      <c r="C19" s="33"/>
      <c r="D19" s="33"/>
      <c r="E19" s="33"/>
      <c r="F19" s="33"/>
      <c r="G19" s="33"/>
      <c r="H19" s="33"/>
    </row>
    <row r="20" customFormat="false" ht="19.5" hidden="false" customHeight="true" outlineLevel="0" collapsed="false">
      <c r="B20" s="33"/>
      <c r="C20" s="33"/>
      <c r="D20" s="33"/>
      <c r="E20" s="33"/>
      <c r="F20" s="33"/>
      <c r="G20" s="33"/>
      <c r="H20" s="33"/>
    </row>
    <row r="21" customFormat="false" ht="19.5" hidden="false" customHeight="true" outlineLevel="0" collapsed="false">
      <c r="B21" s="33"/>
      <c r="C21" s="33"/>
      <c r="D21" s="33"/>
      <c r="E21" s="33"/>
      <c r="F21" s="33"/>
      <c r="G21" s="33"/>
      <c r="H21" s="33"/>
    </row>
    <row r="22" customFormat="false" ht="19.5" hidden="false" customHeight="true" outlineLevel="0" collapsed="false">
      <c r="B22" s="33"/>
      <c r="C22" s="33"/>
      <c r="D22" s="33"/>
      <c r="E22" s="33"/>
      <c r="F22" s="33"/>
      <c r="G22" s="33"/>
      <c r="H22" s="33"/>
    </row>
    <row r="23" customFormat="false" ht="19.5" hidden="false" customHeight="true" outlineLevel="0" collapsed="false">
      <c r="B23" s="33"/>
      <c r="C23" s="33"/>
      <c r="D23" s="33"/>
      <c r="E23" s="33"/>
      <c r="F23" s="33"/>
      <c r="G23" s="33"/>
      <c r="H23" s="33"/>
    </row>
    <row r="25" customFormat="false" ht="21.75" hidden="false" customHeight="true" outlineLevel="0" collapsed="false">
      <c r="B25" s="23" t="s">
        <v>137</v>
      </c>
      <c r="C25" s="23"/>
      <c r="D25" s="23"/>
      <c r="E25" s="23"/>
      <c r="F25" s="23"/>
      <c r="G25" s="23"/>
      <c r="H25" s="23"/>
    </row>
    <row r="26" customFormat="false" ht="30" hidden="false" customHeight="true" outlineLevel="0" collapsed="false">
      <c r="B26" s="27" t="s">
        <v>138</v>
      </c>
      <c r="C26" s="27" t="s">
        <v>264</v>
      </c>
      <c r="D26" s="27" t="s">
        <v>265</v>
      </c>
      <c r="E26" s="27" t="s">
        <v>141</v>
      </c>
      <c r="F26" s="27" t="s">
        <v>266</v>
      </c>
    </row>
    <row r="27" customFormat="false" ht="15" hidden="false" customHeight="true" outlineLevel="0" collapsed="false">
      <c r="B27" s="34" t="s">
        <v>267</v>
      </c>
      <c r="C27" s="34" t="n">
        <v>8</v>
      </c>
      <c r="D27" s="34" t="n">
        <v>0</v>
      </c>
      <c r="E27" s="34" t="n">
        <v>4</v>
      </c>
      <c r="F27" s="34" t="n">
        <v>1</v>
      </c>
    </row>
    <row r="28" customFormat="false" ht="15" hidden="false" customHeight="true" outlineLevel="0" collapsed="false">
      <c r="B28" s="29" t="s">
        <v>268</v>
      </c>
      <c r="C28" s="29" t="n">
        <v>8</v>
      </c>
      <c r="D28" s="29" t="n">
        <v>0</v>
      </c>
      <c r="E28" s="29" t="n">
        <v>4</v>
      </c>
      <c r="F28" s="29" t="n">
        <v>2</v>
      </c>
    </row>
    <row r="29" customFormat="false" ht="15" hidden="false" customHeight="true" outlineLevel="0" collapsed="false">
      <c r="B29" s="34" t="s">
        <v>269</v>
      </c>
      <c r="C29" s="34" t="n">
        <v>8</v>
      </c>
      <c r="D29" s="34" t="n">
        <v>0</v>
      </c>
      <c r="E29" s="34" t="n">
        <v>4</v>
      </c>
      <c r="F29" s="34" t="n">
        <v>3</v>
      </c>
    </row>
    <row r="30" customFormat="false" ht="15" hidden="false" customHeight="true" outlineLevel="0" collapsed="false">
      <c r="B30" s="29" t="s">
        <v>270</v>
      </c>
      <c r="C30" s="29" t="n">
        <v>8</v>
      </c>
      <c r="D30" s="29" t="n">
        <v>0</v>
      </c>
      <c r="E30" s="29" t="n">
        <v>4</v>
      </c>
      <c r="F30" s="29" t="n">
        <v>4</v>
      </c>
    </row>
    <row r="31" customFormat="false" ht="15" hidden="false" customHeight="true" outlineLevel="0" collapsed="false">
      <c r="B31" s="35" t="s">
        <v>291</v>
      </c>
      <c r="C31" s="35" t="n">
        <v>4</v>
      </c>
      <c r="D31" s="35" t="n">
        <v>0</v>
      </c>
      <c r="E31" s="35" t="n">
        <v>2</v>
      </c>
      <c r="F31" s="35" t="s">
        <v>42</v>
      </c>
    </row>
    <row r="32" customFormat="false" ht="15" hidden="false" customHeight="true" outlineLevel="0" collapsed="false">
      <c r="B32" s="35" t="s">
        <v>292</v>
      </c>
      <c r="C32" s="35" t="n">
        <v>2</v>
      </c>
      <c r="D32" s="35" t="n">
        <v>0</v>
      </c>
      <c r="E32" s="35" t="n">
        <v>1</v>
      </c>
      <c r="F32" s="35" t="s">
        <v>42</v>
      </c>
    </row>
    <row r="34" customFormat="false" ht="30" hidden="false" customHeight="true" outlineLevel="0" collapsed="false">
      <c r="B34" s="9" t="s">
        <v>273</v>
      </c>
      <c r="C34" s="9"/>
      <c r="D34" s="9"/>
      <c r="E34" s="9"/>
      <c r="F34" s="9"/>
      <c r="G34" s="9"/>
      <c r="H34" s="9"/>
    </row>
    <row r="36" customFormat="false" ht="21.75" hidden="false" customHeight="true" outlineLevel="0" collapsed="false">
      <c r="B36" s="23" t="s">
        <v>144</v>
      </c>
      <c r="C36" s="23"/>
      <c r="D36" s="23"/>
      <c r="E36" s="23"/>
      <c r="F36" s="23"/>
      <c r="G36" s="23"/>
      <c r="H36" s="23"/>
    </row>
    <row r="37" customFormat="false" ht="19.5" hidden="false" customHeight="true" outlineLevel="0" collapsed="false">
      <c r="B37" s="30" t="s">
        <v>293</v>
      </c>
      <c r="C37" s="30"/>
      <c r="D37" s="30"/>
      <c r="E37" s="30"/>
      <c r="F37" s="30"/>
      <c r="G37" s="30"/>
      <c r="H37" s="30"/>
    </row>
    <row r="38" customFormat="false" ht="19.5" hidden="false" customHeight="true" outlineLevel="0" collapsed="false">
      <c r="B38" s="30"/>
      <c r="C38" s="30"/>
      <c r="D38" s="30"/>
      <c r="E38" s="30"/>
      <c r="F38" s="30"/>
      <c r="G38" s="30"/>
      <c r="H38" s="30"/>
    </row>
    <row r="39" customFormat="false" ht="19.5" hidden="false" customHeight="true" outlineLevel="0" collapsed="false">
      <c r="B39" s="30"/>
      <c r="C39" s="30"/>
      <c r="D39" s="30"/>
      <c r="E39" s="30"/>
      <c r="F39" s="30"/>
      <c r="G39" s="30"/>
      <c r="H39" s="30"/>
    </row>
    <row r="40" customFormat="false" ht="19.5" hidden="false" customHeight="true" outlineLevel="0" collapsed="false">
      <c r="B40" s="30"/>
      <c r="C40" s="30"/>
      <c r="D40" s="30"/>
      <c r="E40" s="30"/>
      <c r="F40" s="30"/>
      <c r="G40" s="30"/>
      <c r="H40" s="30"/>
    </row>
    <row r="41" customFormat="false" ht="19.5" hidden="false" customHeight="true" outlineLevel="0" collapsed="false">
      <c r="B41" s="30"/>
      <c r="C41" s="30"/>
      <c r="D41" s="30"/>
      <c r="E41" s="30"/>
      <c r="F41" s="30"/>
      <c r="G41" s="30"/>
      <c r="H41" s="30"/>
    </row>
    <row r="42" customFormat="false" ht="19.5" hidden="false" customHeight="true" outlineLevel="0" collapsed="false">
      <c r="B42" s="30"/>
      <c r="C42" s="30"/>
      <c r="D42" s="30"/>
      <c r="E42" s="30"/>
      <c r="F42" s="30"/>
      <c r="G42" s="30"/>
      <c r="H42" s="30"/>
    </row>
    <row r="44" customFormat="false" ht="21.75" hidden="false" customHeight="true" outlineLevel="0" collapsed="false">
      <c r="B44" s="23" t="s">
        <v>146</v>
      </c>
      <c r="C44" s="23"/>
      <c r="D44" s="23"/>
      <c r="E44" s="23"/>
      <c r="F44" s="23"/>
      <c r="G44" s="23"/>
      <c r="H44" s="23"/>
    </row>
    <row r="45" customFormat="false" ht="36" hidden="false" customHeight="true" outlineLevel="0" collapsed="false">
      <c r="B45" s="31" t="s">
        <v>147</v>
      </c>
      <c r="C45" s="32" t="s">
        <v>333</v>
      </c>
      <c r="D45" s="32"/>
      <c r="E45" s="32"/>
      <c r="F45" s="32"/>
      <c r="G45" s="32"/>
      <c r="H45" s="32"/>
    </row>
    <row r="46" customFormat="false" ht="36" hidden="false" customHeight="true" outlineLevel="0" collapsed="false">
      <c r="B46" s="31" t="s">
        <v>149</v>
      </c>
      <c r="C46" s="32" t="s">
        <v>334</v>
      </c>
      <c r="D46" s="32"/>
      <c r="E46" s="32"/>
      <c r="F46" s="32"/>
      <c r="G46" s="32"/>
      <c r="H46" s="32"/>
    </row>
    <row r="47" customFormat="false" ht="36" hidden="false" customHeight="true" outlineLevel="0" collapsed="false">
      <c r="B47" s="31" t="s">
        <v>151</v>
      </c>
      <c r="C47" s="32" t="s">
        <v>335</v>
      </c>
      <c r="D47" s="32"/>
      <c r="E47" s="32"/>
      <c r="F47" s="32"/>
      <c r="G47" s="32"/>
      <c r="H47" s="32"/>
    </row>
    <row r="48" customFormat="false" ht="36" hidden="false" customHeight="true" outlineLevel="0" collapsed="false">
      <c r="B48" s="31" t="s">
        <v>153</v>
      </c>
      <c r="C48" s="32" t="s">
        <v>336</v>
      </c>
      <c r="D48" s="32"/>
      <c r="E48" s="32"/>
      <c r="F48" s="32"/>
      <c r="G48" s="32"/>
      <c r="H48" s="32"/>
    </row>
    <row r="49" customFormat="false" ht="36" hidden="false" customHeight="true" outlineLevel="0" collapsed="false">
      <c r="B49" s="31" t="s">
        <v>155</v>
      </c>
      <c r="C49" s="32" t="s">
        <v>279</v>
      </c>
      <c r="D49" s="32"/>
      <c r="E49" s="32"/>
      <c r="F49" s="32"/>
      <c r="G49" s="32"/>
      <c r="H49" s="32"/>
    </row>
    <row r="50" customFormat="false" ht="36" hidden="false" customHeight="true" outlineLevel="0" collapsed="false">
      <c r="B50" s="31" t="s">
        <v>157</v>
      </c>
      <c r="C50" s="32" t="s">
        <v>298</v>
      </c>
      <c r="D50" s="32"/>
      <c r="E50" s="32"/>
      <c r="F50" s="32"/>
      <c r="G50" s="32"/>
      <c r="H50" s="32"/>
    </row>
    <row r="51" customFormat="false" ht="36" hidden="false" customHeight="true" outlineLevel="0" collapsed="false">
      <c r="B51" s="31" t="s">
        <v>159</v>
      </c>
      <c r="C51" s="32" t="s">
        <v>281</v>
      </c>
      <c r="D51" s="32"/>
      <c r="E51" s="32"/>
      <c r="F51" s="32"/>
      <c r="G51" s="32"/>
      <c r="H51" s="32"/>
    </row>
  </sheetData>
  <mergeCells count="28">
    <mergeCell ref="B2:H2"/>
    <mergeCell ref="B3:H3"/>
    <mergeCell ref="B5:H5"/>
    <mergeCell ref="C6:H6"/>
    <mergeCell ref="C7:H7"/>
    <mergeCell ref="C8:H8"/>
    <mergeCell ref="C9:H9"/>
    <mergeCell ref="C10:H10"/>
    <mergeCell ref="C11:H11"/>
    <mergeCell ref="C12:H12"/>
    <mergeCell ref="C13:H13"/>
    <mergeCell ref="C14:H14"/>
    <mergeCell ref="C15:H15"/>
    <mergeCell ref="C16:H16"/>
    <mergeCell ref="B18:H18"/>
    <mergeCell ref="B19:H23"/>
    <mergeCell ref="B25:H25"/>
    <mergeCell ref="B34:H34"/>
    <mergeCell ref="B36:H36"/>
    <mergeCell ref="B37:H42"/>
    <mergeCell ref="B44:H44"/>
    <mergeCell ref="C45:H45"/>
    <mergeCell ref="C46:H46"/>
    <mergeCell ref="C47:H47"/>
    <mergeCell ref="C48:H48"/>
    <mergeCell ref="C49:H49"/>
    <mergeCell ref="C50:H50"/>
    <mergeCell ref="C51:H5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H5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22"/>
    <col collapsed="false" customWidth="true" hidden="false" outlineLevel="0" max="8" min="3" style="1" width="14"/>
  </cols>
  <sheetData>
    <row r="2" customFormat="false" ht="24" hidden="false" customHeight="true" outlineLevel="0" collapsed="false">
      <c r="B2" s="21" t="s">
        <v>337</v>
      </c>
      <c r="C2" s="21"/>
      <c r="D2" s="21"/>
      <c r="E2" s="21"/>
      <c r="F2" s="21"/>
      <c r="G2" s="21"/>
      <c r="H2" s="21"/>
    </row>
    <row r="3" customFormat="false" ht="15" hidden="false" customHeight="true" outlineLevel="0" collapsed="false">
      <c r="B3" s="22" t="s">
        <v>338</v>
      </c>
      <c r="C3" s="22"/>
      <c r="D3" s="22"/>
      <c r="E3" s="22"/>
      <c r="F3" s="22"/>
      <c r="G3" s="22"/>
      <c r="H3" s="22"/>
    </row>
    <row r="5" customFormat="false" ht="21.75" hidden="false" customHeight="true" outlineLevel="0" collapsed="false">
      <c r="B5" s="23" t="s">
        <v>117</v>
      </c>
      <c r="C5" s="23"/>
      <c r="D5" s="23"/>
      <c r="E5" s="23"/>
      <c r="F5" s="23"/>
      <c r="G5" s="23"/>
      <c r="H5" s="23"/>
    </row>
    <row r="6" customFormat="false" ht="15" hidden="false" customHeight="true" outlineLevel="0" collapsed="false">
      <c r="B6" s="24" t="s">
        <v>255</v>
      </c>
      <c r="C6" s="25" t="s">
        <v>339</v>
      </c>
      <c r="D6" s="25"/>
      <c r="E6" s="25"/>
      <c r="F6" s="25"/>
      <c r="G6" s="25"/>
      <c r="H6" s="25"/>
    </row>
    <row r="7" customFormat="false" ht="15" hidden="false" customHeight="true" outlineLevel="0" collapsed="false">
      <c r="B7" s="24" t="s">
        <v>118</v>
      </c>
      <c r="C7" s="25" t="s">
        <v>241</v>
      </c>
      <c r="D7" s="25"/>
      <c r="E7" s="25"/>
      <c r="F7" s="25"/>
      <c r="G7" s="25"/>
      <c r="H7" s="25"/>
    </row>
    <row r="8" customFormat="false" ht="15" hidden="false" customHeight="true" outlineLevel="0" collapsed="false">
      <c r="B8" s="24" t="s">
        <v>257</v>
      </c>
      <c r="C8" s="25" t="s">
        <v>340</v>
      </c>
      <c r="D8" s="25"/>
      <c r="E8" s="25"/>
      <c r="F8" s="25"/>
      <c r="G8" s="25"/>
      <c r="H8" s="25"/>
    </row>
    <row r="9" customFormat="false" ht="15" hidden="false" customHeight="true" outlineLevel="0" collapsed="false">
      <c r="B9" s="24" t="s">
        <v>122</v>
      </c>
      <c r="C9" s="25" t="s">
        <v>164</v>
      </c>
      <c r="D9" s="25"/>
      <c r="E9" s="25"/>
      <c r="F9" s="25"/>
      <c r="G9" s="25"/>
      <c r="H9" s="25"/>
    </row>
    <row r="10" customFormat="false" ht="15" hidden="false" customHeight="true" outlineLevel="0" collapsed="false">
      <c r="B10" s="24" t="s">
        <v>259</v>
      </c>
      <c r="C10" s="25" t="s">
        <v>165</v>
      </c>
      <c r="D10" s="25"/>
      <c r="E10" s="25"/>
      <c r="F10" s="25"/>
      <c r="G10" s="25"/>
      <c r="H10" s="25"/>
    </row>
    <row r="11" customFormat="false" ht="15" hidden="false" customHeight="true" outlineLevel="0" collapsed="false">
      <c r="B11" s="24" t="s">
        <v>126</v>
      </c>
      <c r="C11" s="25" t="s">
        <v>58</v>
      </c>
      <c r="D11" s="25"/>
      <c r="E11" s="25"/>
      <c r="F11" s="25"/>
      <c r="G11" s="25"/>
      <c r="H11" s="25"/>
    </row>
    <row r="12" customFormat="false" ht="15" hidden="false" customHeight="true" outlineLevel="0" collapsed="false">
      <c r="B12" s="24" t="s">
        <v>127</v>
      </c>
      <c r="C12" s="25" t="s">
        <v>288</v>
      </c>
      <c r="D12" s="25"/>
      <c r="E12" s="25"/>
      <c r="F12" s="25"/>
      <c r="G12" s="25"/>
      <c r="H12" s="25"/>
    </row>
    <row r="13" customFormat="false" ht="15" hidden="false" customHeight="true" outlineLevel="0" collapsed="false">
      <c r="B13" s="24" t="s">
        <v>131</v>
      </c>
      <c r="C13" s="25" t="s">
        <v>132</v>
      </c>
      <c r="D13" s="25"/>
      <c r="E13" s="25"/>
      <c r="F13" s="25"/>
      <c r="G13" s="25"/>
      <c r="H13" s="25"/>
    </row>
    <row r="14" customFormat="false" ht="15" hidden="false" customHeight="true" outlineLevel="0" collapsed="false">
      <c r="B14" s="24" t="s">
        <v>261</v>
      </c>
      <c r="C14" s="25" t="s">
        <v>166</v>
      </c>
      <c r="D14" s="25"/>
      <c r="E14" s="25"/>
      <c r="F14" s="25"/>
      <c r="G14" s="25"/>
      <c r="H14" s="25"/>
    </row>
    <row r="15" customFormat="false" ht="15" hidden="false" customHeight="true" outlineLevel="0" collapsed="false">
      <c r="B15" s="24" t="s">
        <v>129</v>
      </c>
      <c r="C15" s="25" t="s">
        <v>262</v>
      </c>
      <c r="D15" s="25"/>
      <c r="E15" s="25"/>
      <c r="F15" s="25"/>
      <c r="G15" s="25"/>
      <c r="H15" s="25"/>
    </row>
    <row r="16" customFormat="false" ht="15" hidden="false" customHeight="true" outlineLevel="0" collapsed="false">
      <c r="B16" s="24" t="s">
        <v>133</v>
      </c>
      <c r="C16" s="25" t="s">
        <v>134</v>
      </c>
      <c r="D16" s="25"/>
      <c r="E16" s="25"/>
      <c r="F16" s="25"/>
      <c r="G16" s="25"/>
      <c r="H16" s="25"/>
    </row>
    <row r="18" customFormat="false" ht="21.75" hidden="false" customHeight="true" outlineLevel="0" collapsed="false">
      <c r="B18" s="23" t="s">
        <v>135</v>
      </c>
      <c r="C18" s="23"/>
      <c r="D18" s="23"/>
      <c r="E18" s="23"/>
      <c r="F18" s="23"/>
      <c r="G18" s="23"/>
      <c r="H18" s="23"/>
    </row>
    <row r="19" customFormat="false" ht="19.5" hidden="false" customHeight="true" outlineLevel="0" collapsed="false">
      <c r="B19" s="33" t="s">
        <v>341</v>
      </c>
      <c r="C19" s="33"/>
      <c r="D19" s="33"/>
      <c r="E19" s="33"/>
      <c r="F19" s="33"/>
      <c r="G19" s="33"/>
      <c r="H19" s="33"/>
    </row>
    <row r="20" customFormat="false" ht="19.5" hidden="false" customHeight="true" outlineLevel="0" collapsed="false">
      <c r="B20" s="33"/>
      <c r="C20" s="33"/>
      <c r="D20" s="33"/>
      <c r="E20" s="33"/>
      <c r="F20" s="33"/>
      <c r="G20" s="33"/>
      <c r="H20" s="33"/>
    </row>
    <row r="21" customFormat="false" ht="19.5" hidden="false" customHeight="true" outlineLevel="0" collapsed="false">
      <c r="B21" s="33"/>
      <c r="C21" s="33"/>
      <c r="D21" s="33"/>
      <c r="E21" s="33"/>
      <c r="F21" s="33"/>
      <c r="G21" s="33"/>
      <c r="H21" s="33"/>
    </row>
    <row r="22" customFormat="false" ht="19.5" hidden="false" customHeight="true" outlineLevel="0" collapsed="false">
      <c r="B22" s="33"/>
      <c r="C22" s="33"/>
      <c r="D22" s="33"/>
      <c r="E22" s="33"/>
      <c r="F22" s="33"/>
      <c r="G22" s="33"/>
      <c r="H22" s="33"/>
    </row>
    <row r="23" customFormat="false" ht="19.5" hidden="false" customHeight="true" outlineLevel="0" collapsed="false">
      <c r="B23" s="33"/>
      <c r="C23" s="33"/>
      <c r="D23" s="33"/>
      <c r="E23" s="33"/>
      <c r="F23" s="33"/>
      <c r="G23" s="33"/>
      <c r="H23" s="33"/>
    </row>
    <row r="25" customFormat="false" ht="21.75" hidden="false" customHeight="true" outlineLevel="0" collapsed="false">
      <c r="B25" s="23" t="s">
        <v>137</v>
      </c>
      <c r="C25" s="23"/>
      <c r="D25" s="23"/>
      <c r="E25" s="23"/>
      <c r="F25" s="23"/>
      <c r="G25" s="23"/>
      <c r="H25" s="23"/>
    </row>
    <row r="26" customFormat="false" ht="30" hidden="false" customHeight="true" outlineLevel="0" collapsed="false">
      <c r="B26" s="27" t="s">
        <v>138</v>
      </c>
      <c r="C26" s="27" t="s">
        <v>264</v>
      </c>
      <c r="D26" s="27" t="s">
        <v>265</v>
      </c>
      <c r="E26" s="27" t="s">
        <v>141</v>
      </c>
      <c r="F26" s="27" t="s">
        <v>266</v>
      </c>
    </row>
    <row r="27" customFormat="false" ht="15" hidden="false" customHeight="true" outlineLevel="0" collapsed="false">
      <c r="B27" s="34" t="s">
        <v>267</v>
      </c>
      <c r="C27" s="34" t="n">
        <v>8</v>
      </c>
      <c r="D27" s="34" t="n">
        <v>1</v>
      </c>
      <c r="E27" s="34" t="n">
        <v>4</v>
      </c>
      <c r="F27" s="34" t="n">
        <v>1</v>
      </c>
    </row>
    <row r="28" customFormat="false" ht="15" hidden="false" customHeight="true" outlineLevel="0" collapsed="false">
      <c r="B28" s="29" t="s">
        <v>268</v>
      </c>
      <c r="C28" s="29" t="n">
        <v>8</v>
      </c>
      <c r="D28" s="29" t="n">
        <v>1</v>
      </c>
      <c r="E28" s="29" t="n">
        <v>4</v>
      </c>
      <c r="F28" s="29" t="n">
        <v>2</v>
      </c>
    </row>
    <row r="29" customFormat="false" ht="15" hidden="false" customHeight="true" outlineLevel="0" collapsed="false">
      <c r="B29" s="34" t="s">
        <v>269</v>
      </c>
      <c r="C29" s="34" t="n">
        <v>8</v>
      </c>
      <c r="D29" s="34" t="n">
        <v>1</v>
      </c>
      <c r="E29" s="34" t="n">
        <v>4</v>
      </c>
      <c r="F29" s="34" t="n">
        <v>3</v>
      </c>
    </row>
    <row r="30" customFormat="false" ht="15" hidden="false" customHeight="true" outlineLevel="0" collapsed="false">
      <c r="B30" s="29" t="s">
        <v>270</v>
      </c>
      <c r="C30" s="29" t="n">
        <v>8</v>
      </c>
      <c r="D30" s="29" t="n">
        <v>1</v>
      </c>
      <c r="E30" s="29" t="n">
        <v>4</v>
      </c>
      <c r="F30" s="29" t="n">
        <v>4</v>
      </c>
    </row>
    <row r="31" customFormat="false" ht="15" hidden="false" customHeight="true" outlineLevel="0" collapsed="false">
      <c r="B31" s="34" t="s">
        <v>271</v>
      </c>
      <c r="C31" s="34" t="n">
        <v>8</v>
      </c>
      <c r="D31" s="34" t="n">
        <v>1</v>
      </c>
      <c r="E31" s="34" t="n">
        <v>4</v>
      </c>
      <c r="F31" s="34" t="n">
        <v>4</v>
      </c>
    </row>
    <row r="32" customFormat="false" ht="15" hidden="false" customHeight="true" outlineLevel="0" collapsed="false">
      <c r="B32" s="35" t="s">
        <v>291</v>
      </c>
      <c r="C32" s="35" t="n">
        <v>4</v>
      </c>
      <c r="D32" s="35" t="n">
        <v>0</v>
      </c>
      <c r="E32" s="35" t="n">
        <v>2</v>
      </c>
      <c r="F32" s="35" t="s">
        <v>42</v>
      </c>
    </row>
    <row r="33" customFormat="false" ht="15" hidden="false" customHeight="true" outlineLevel="0" collapsed="false">
      <c r="B33" s="35" t="s">
        <v>292</v>
      </c>
      <c r="C33" s="35" t="n">
        <v>2</v>
      </c>
      <c r="D33" s="35" t="n">
        <v>0</v>
      </c>
      <c r="E33" s="35" t="n">
        <v>1</v>
      </c>
      <c r="F33" s="35" t="s">
        <v>42</v>
      </c>
    </row>
    <row r="35" customFormat="false" ht="30" hidden="false" customHeight="true" outlineLevel="0" collapsed="false">
      <c r="B35" s="9" t="s">
        <v>273</v>
      </c>
      <c r="C35" s="9"/>
      <c r="D35" s="9"/>
      <c r="E35" s="9"/>
      <c r="F35" s="9"/>
      <c r="G35" s="9"/>
      <c r="H35" s="9"/>
    </row>
    <row r="37" customFormat="false" ht="21.75" hidden="false" customHeight="true" outlineLevel="0" collapsed="false">
      <c r="B37" s="23" t="s">
        <v>144</v>
      </c>
      <c r="C37" s="23"/>
      <c r="D37" s="23"/>
      <c r="E37" s="23"/>
      <c r="F37" s="23"/>
      <c r="G37" s="23"/>
      <c r="H37" s="23"/>
    </row>
    <row r="38" customFormat="false" ht="19.5" hidden="false" customHeight="true" outlineLevel="0" collapsed="false">
      <c r="B38" s="30" t="s">
        <v>293</v>
      </c>
      <c r="C38" s="30"/>
      <c r="D38" s="30"/>
      <c r="E38" s="30"/>
      <c r="F38" s="30"/>
      <c r="G38" s="30"/>
      <c r="H38" s="30"/>
    </row>
    <row r="39" customFormat="false" ht="19.5" hidden="false" customHeight="true" outlineLevel="0" collapsed="false">
      <c r="B39" s="30"/>
      <c r="C39" s="30"/>
      <c r="D39" s="30"/>
      <c r="E39" s="30"/>
      <c r="F39" s="30"/>
      <c r="G39" s="30"/>
      <c r="H39" s="30"/>
    </row>
    <row r="40" customFormat="false" ht="19.5" hidden="false" customHeight="true" outlineLevel="0" collapsed="false">
      <c r="B40" s="30"/>
      <c r="C40" s="30"/>
      <c r="D40" s="30"/>
      <c r="E40" s="30"/>
      <c r="F40" s="30"/>
      <c r="G40" s="30"/>
      <c r="H40" s="30"/>
    </row>
    <row r="41" customFormat="false" ht="19.5" hidden="false" customHeight="true" outlineLevel="0" collapsed="false">
      <c r="B41" s="30"/>
      <c r="C41" s="30"/>
      <c r="D41" s="30"/>
      <c r="E41" s="30"/>
      <c r="F41" s="30"/>
      <c r="G41" s="30"/>
      <c r="H41" s="30"/>
    </row>
    <row r="42" customFormat="false" ht="19.5" hidden="false" customHeight="true" outlineLevel="0" collapsed="false">
      <c r="B42" s="30"/>
      <c r="C42" s="30"/>
      <c r="D42" s="30"/>
      <c r="E42" s="30"/>
      <c r="F42" s="30"/>
      <c r="G42" s="30"/>
      <c r="H42" s="30"/>
    </row>
    <row r="43" customFormat="false" ht="19.5" hidden="false" customHeight="true" outlineLevel="0" collapsed="false">
      <c r="B43" s="30"/>
      <c r="C43" s="30"/>
      <c r="D43" s="30"/>
      <c r="E43" s="30"/>
      <c r="F43" s="30"/>
      <c r="G43" s="30"/>
      <c r="H43" s="30"/>
    </row>
    <row r="45" customFormat="false" ht="21.75" hidden="false" customHeight="true" outlineLevel="0" collapsed="false">
      <c r="B45" s="23" t="s">
        <v>146</v>
      </c>
      <c r="C45" s="23"/>
      <c r="D45" s="23"/>
      <c r="E45" s="23"/>
      <c r="F45" s="23"/>
      <c r="G45" s="23"/>
      <c r="H45" s="23"/>
    </row>
    <row r="46" customFormat="false" ht="36" hidden="false" customHeight="true" outlineLevel="0" collapsed="false">
      <c r="B46" s="31" t="s">
        <v>147</v>
      </c>
      <c r="C46" s="32" t="s">
        <v>342</v>
      </c>
      <c r="D46" s="32"/>
      <c r="E46" s="32"/>
      <c r="F46" s="32"/>
      <c r="G46" s="32"/>
      <c r="H46" s="32"/>
    </row>
    <row r="47" customFormat="false" ht="36" hidden="false" customHeight="true" outlineLevel="0" collapsed="false">
      <c r="B47" s="31" t="s">
        <v>149</v>
      </c>
      <c r="C47" s="32" t="s">
        <v>334</v>
      </c>
      <c r="D47" s="32"/>
      <c r="E47" s="32"/>
      <c r="F47" s="32"/>
      <c r="G47" s="32"/>
      <c r="H47" s="32"/>
    </row>
    <row r="48" customFormat="false" ht="36" hidden="false" customHeight="true" outlineLevel="0" collapsed="false">
      <c r="B48" s="31" t="s">
        <v>151</v>
      </c>
      <c r="C48" s="32" t="s">
        <v>343</v>
      </c>
      <c r="D48" s="32"/>
      <c r="E48" s="32"/>
      <c r="F48" s="32"/>
      <c r="G48" s="32"/>
      <c r="H48" s="32"/>
    </row>
    <row r="49" customFormat="false" ht="36" hidden="false" customHeight="true" outlineLevel="0" collapsed="false">
      <c r="B49" s="31" t="s">
        <v>153</v>
      </c>
      <c r="C49" s="32" t="s">
        <v>306</v>
      </c>
      <c r="D49" s="32"/>
      <c r="E49" s="32"/>
      <c r="F49" s="32"/>
      <c r="G49" s="32"/>
      <c r="H49" s="32"/>
    </row>
    <row r="50" customFormat="false" ht="36" hidden="false" customHeight="true" outlineLevel="0" collapsed="false">
      <c r="B50" s="31" t="s">
        <v>155</v>
      </c>
      <c r="C50" s="32" t="s">
        <v>279</v>
      </c>
      <c r="D50" s="32"/>
      <c r="E50" s="32"/>
      <c r="F50" s="32"/>
      <c r="G50" s="32"/>
      <c r="H50" s="32"/>
    </row>
    <row r="51" customFormat="false" ht="36" hidden="false" customHeight="true" outlineLevel="0" collapsed="false">
      <c r="B51" s="31" t="s">
        <v>157</v>
      </c>
      <c r="C51" s="32" t="s">
        <v>298</v>
      </c>
      <c r="D51" s="32"/>
      <c r="E51" s="32"/>
      <c r="F51" s="32"/>
      <c r="G51" s="32"/>
      <c r="H51" s="32"/>
    </row>
    <row r="52" customFormat="false" ht="36" hidden="false" customHeight="true" outlineLevel="0" collapsed="false">
      <c r="B52" s="31" t="s">
        <v>159</v>
      </c>
      <c r="C52" s="32" t="s">
        <v>281</v>
      </c>
      <c r="D52" s="32"/>
      <c r="E52" s="32"/>
      <c r="F52" s="32"/>
      <c r="G52" s="32"/>
      <c r="H52" s="32"/>
    </row>
  </sheetData>
  <mergeCells count="28">
    <mergeCell ref="B2:H2"/>
    <mergeCell ref="B3:H3"/>
    <mergeCell ref="B5:H5"/>
    <mergeCell ref="C6:H6"/>
    <mergeCell ref="C7:H7"/>
    <mergeCell ref="C8:H8"/>
    <mergeCell ref="C9:H9"/>
    <mergeCell ref="C10:H10"/>
    <mergeCell ref="C11:H11"/>
    <mergeCell ref="C12:H12"/>
    <mergeCell ref="C13:H13"/>
    <mergeCell ref="C14:H14"/>
    <mergeCell ref="C15:H15"/>
    <mergeCell ref="C16:H16"/>
    <mergeCell ref="B18:H18"/>
    <mergeCell ref="B19:H23"/>
    <mergeCell ref="B25:H25"/>
    <mergeCell ref="B35:H35"/>
    <mergeCell ref="B37:H37"/>
    <mergeCell ref="B38:H43"/>
    <mergeCell ref="B45:H45"/>
    <mergeCell ref="C46:H46"/>
    <mergeCell ref="C47:H47"/>
    <mergeCell ref="C48:H48"/>
    <mergeCell ref="C49:H49"/>
    <mergeCell ref="C50:H50"/>
    <mergeCell ref="C51:H51"/>
    <mergeCell ref="C52:H5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0" topLeftCell="A11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12"/>
    <col collapsed="false" customWidth="true" hidden="false" outlineLevel="0" max="3" min="3" style="0" width="7"/>
    <col collapsed="false" customWidth="true" hidden="false" outlineLevel="0" max="4" min="4" style="0" width="12"/>
    <col collapsed="false" customWidth="true" hidden="false" outlineLevel="0" max="5" min="5" style="0" width="7"/>
    <col collapsed="false" customWidth="true" hidden="false" outlineLevel="0" max="6" min="6" style="0" width="12"/>
    <col collapsed="false" customWidth="true" hidden="false" outlineLevel="0" max="7" min="7" style="0" width="7"/>
    <col collapsed="false" customWidth="true" hidden="false" outlineLevel="0" max="8" min="8" style="0" width="12"/>
    <col collapsed="false" customWidth="true" hidden="false" outlineLevel="0" max="9" min="9" style="0" width="7"/>
    <col collapsed="false" customWidth="true" hidden="false" outlineLevel="0" max="10" min="10" style="0" width="12"/>
    <col collapsed="false" customWidth="true" hidden="false" outlineLevel="0" max="11" min="11" style="0" width="7"/>
    <col collapsed="false" customWidth="true" hidden="false" outlineLevel="0" max="12" min="12" style="0" width="12"/>
    <col collapsed="false" customWidth="true" hidden="false" outlineLevel="0" max="13" min="13" style="0" width="7"/>
  </cols>
  <sheetData>
    <row r="1" customFormat="false" ht="22.05" hidden="false" customHeight="false" outlineLevel="0" collapsed="false">
      <c r="A1" s="36" t="s">
        <v>344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</row>
    <row r="2" customFormat="false" ht="15" hidden="false" customHeight="false" outlineLevel="0" collapsed="false">
      <c r="A2" s="37" t="s">
        <v>345</v>
      </c>
      <c r="B2" s="37"/>
      <c r="C2" s="37"/>
      <c r="D2" s="37"/>
      <c r="E2" s="37"/>
      <c r="F2" s="37"/>
      <c r="G2" s="37"/>
      <c r="H2" s="37"/>
      <c r="I2" s="37"/>
      <c r="J2" s="37"/>
      <c r="K2" s="37"/>
      <c r="L2" s="37"/>
      <c r="M2" s="37"/>
    </row>
    <row r="4" customFormat="false" ht="15" hidden="false" customHeight="true" outlineLevel="0" collapsed="false">
      <c r="A4" s="18" t="s">
        <v>346</v>
      </c>
      <c r="B4" s="18"/>
      <c r="C4" s="18"/>
      <c r="D4" s="18"/>
      <c r="E4" s="18"/>
      <c r="F4" s="18"/>
      <c r="G4" s="18"/>
    </row>
    <row r="5" customFormat="false" ht="21.75" hidden="false" customHeight="true" outlineLevel="0" collapsed="false">
      <c r="A5" s="38" t="s">
        <v>347</v>
      </c>
      <c r="B5" s="38" t="s">
        <v>348</v>
      </c>
      <c r="C5" s="38" t="s">
        <v>349</v>
      </c>
      <c r="D5" s="38" t="s">
        <v>350</v>
      </c>
      <c r="E5" s="38" t="s">
        <v>351</v>
      </c>
      <c r="F5" s="38" t="s">
        <v>352</v>
      </c>
      <c r="G5" s="38" t="s">
        <v>353</v>
      </c>
    </row>
    <row r="6" customFormat="false" ht="15" hidden="false" customHeight="false" outlineLevel="0" collapsed="false">
      <c r="A6" s="39" t="s">
        <v>354</v>
      </c>
      <c r="B6" s="40" t="n">
        <f aca="false">IF(C15&gt;C18,1,0)+IF(E15&gt;E18,1,0)+IF(G15&gt;G18,1,0)+IF(I15&gt;I18,1,0)+IF(K15&gt;K18,1,0)+IF(M18&gt;M15,1,0)</f>
        <v>0</v>
      </c>
      <c r="C6" s="40" t="n">
        <f aca="false">N(C15)+N(E15)+N(G15)+N(I15)+N(K15)+N(M18)</f>
        <v>0</v>
      </c>
      <c r="D6" s="40" t="n">
        <f aca="false">N(C18)+N(E18)+N(G18)+N(I18)+N(K18)+N(M15)</f>
        <v>0</v>
      </c>
      <c r="E6" s="40" t="n">
        <f aca="false">C6-D6</f>
        <v>0</v>
      </c>
      <c r="F6" s="40" t="n">
        <f aca="false">RANK(B6,$B$6:$B$9)+SUMPRODUCT(($B$6:$B$9=B6)*($E$6:$E$9&gt;E6))</f>
        <v>1</v>
      </c>
      <c r="G6" s="40" t="n">
        <f aca="false">IF(N(C15)+N(C18)&gt;0,1,0)+IF(N(E15)+N(E18)&gt;0,1,0)+IF(N(G15)+N(G18)&gt;0,1,0)+IF(N(I15)+N(I18)&gt;0,1,0)+IF(N(K15)+N(K18)&gt;0,1,0)+IF(N(M18)+N(M15)&gt;0,1,0)</f>
        <v>0</v>
      </c>
    </row>
    <row r="7" customFormat="false" ht="15" hidden="false" customHeight="false" outlineLevel="0" collapsed="false">
      <c r="A7" s="39" t="s">
        <v>355</v>
      </c>
      <c r="B7" s="40" t="n">
        <f aca="false">IF(C15&gt;C18,1,0)+IF(E18&gt;E15,1,0)+IF(G18&gt;G15,1,0)+IF(I18&gt;I15,1,0)+IF(K18&gt;K15,1,0)+IF(M18&gt;M15,1,0)</f>
        <v>0</v>
      </c>
      <c r="C7" s="40" t="n">
        <f aca="false">N(C15)+N(E18)+N(G18)+N(I18)+N(K18)+N(M18)</f>
        <v>0</v>
      </c>
      <c r="D7" s="40" t="n">
        <f aca="false">N(C18)+N(E15)+N(G15)+N(I15)+N(K15)+N(M15)</f>
        <v>0</v>
      </c>
      <c r="E7" s="40" t="n">
        <f aca="false">C7-D7</f>
        <v>0</v>
      </c>
      <c r="F7" s="40" t="n">
        <f aca="false">RANK(B7,$B$6:$B$9)+SUMPRODUCT(($B$6:$B$9=B7)*($E$6:$E$9&gt;E7))</f>
        <v>1</v>
      </c>
      <c r="G7" s="40" t="n">
        <f aca="false">IF(N(C15)+N(C18)&gt;0,1,0)+IF(N(E18)+N(E15)&gt;0,1,0)+IF(N(G18)+N(G15)&gt;0,1,0)+IF(N(I18)+N(I15)&gt;0,1,0)+IF(N(K18)+N(K15)&gt;0,1,0)+IF(N(M18)+N(M15)&gt;0,1,0)</f>
        <v>0</v>
      </c>
    </row>
    <row r="8" customFormat="false" ht="15" hidden="false" customHeight="false" outlineLevel="0" collapsed="false">
      <c r="A8" s="39" t="s">
        <v>356</v>
      </c>
      <c r="B8" s="40" t="n">
        <f aca="false">IF(C18&gt;C15,1,0)+IF(E15&gt;E18,1,0)+IF(G18&gt;G15,1,0)+IF(I15&gt;I18,1,0)+IF(K18&gt;K15,1,0)+IF(M15&gt;M18,1,0)</f>
        <v>0</v>
      </c>
      <c r="C8" s="40" t="n">
        <f aca="false">N(C18)+N(E15)+N(G18)+N(I15)+N(K18)+N(M15)</f>
        <v>0</v>
      </c>
      <c r="D8" s="40" t="n">
        <f aca="false">N(C15)+N(E18)+N(G15)+N(I18)+N(K15)+N(M18)</f>
        <v>0</v>
      </c>
      <c r="E8" s="40" t="n">
        <f aca="false">C8-D8</f>
        <v>0</v>
      </c>
      <c r="F8" s="40" t="n">
        <f aca="false">RANK(B8,$B$6:$B$9)+SUMPRODUCT(($B$6:$B$9=B8)*($E$6:$E$9&gt;E8))</f>
        <v>1</v>
      </c>
      <c r="G8" s="40" t="n">
        <f aca="false">IF(N(C18)+N(C15)&gt;0,1,0)+IF(N(E15)+N(E18)&gt;0,1,0)+IF(N(G18)+N(G15)&gt;0,1,0)+IF(N(I15)+N(I18)&gt;0,1,0)+IF(N(K18)+N(K15)&gt;0,1,0)+IF(N(M15)+N(M18)&gt;0,1,0)</f>
        <v>0</v>
      </c>
    </row>
    <row r="9" customFormat="false" ht="15" hidden="false" customHeight="false" outlineLevel="0" collapsed="false">
      <c r="A9" s="39" t="s">
        <v>357</v>
      </c>
      <c r="B9" s="40" t="n">
        <f aca="false">IF(C18&gt;C15,1,0)+IF(E18&gt;E15,1,0)+IF(G15&gt;G18,1,0)+IF(I18&gt;I15,1,0)+IF(K15&gt;K18,1,0)+IF(M15&gt;M18,1,0)</f>
        <v>0</v>
      </c>
      <c r="C9" s="40" t="n">
        <f aca="false">N(C18)+N(E18)+N(G15)+N(I18)+N(K15)+N(M15)</f>
        <v>0</v>
      </c>
      <c r="D9" s="40" t="n">
        <f aca="false">N(C15)+N(E15)+N(G18)+N(I15)+N(K18)+N(M18)</f>
        <v>0</v>
      </c>
      <c r="E9" s="40" t="n">
        <f aca="false">C9-D9</f>
        <v>0</v>
      </c>
      <c r="F9" s="40" t="n">
        <f aca="false">RANK(B9,$B$6:$B$9)+SUMPRODUCT(($B$6:$B$9=B9)*($E$6:$E$9&gt;E9))</f>
        <v>1</v>
      </c>
      <c r="G9" s="40" t="n">
        <f aca="false">IF(N(C18)+N(C15)&gt;0,1,0)+IF(N(E18)+N(E15)&gt;0,1,0)+IF(N(G15)+N(G18)&gt;0,1,0)+IF(N(I18)+N(I15)&gt;0,1,0)+IF(N(K15)+N(K18)&gt;0,1,0)+IF(N(M15)+N(M18)&gt;0,1,0)</f>
        <v>0</v>
      </c>
    </row>
    <row r="11" customFormat="false" ht="15" hidden="false" customHeight="true" outlineLevel="0" collapsed="false">
      <c r="A11" s="18" t="s">
        <v>358</v>
      </c>
      <c r="B11" s="18"/>
      <c r="C11" s="18"/>
      <c r="D11" s="18"/>
      <c r="E11" s="18"/>
      <c r="F11" s="18"/>
      <c r="G11" s="18"/>
      <c r="H11" s="18"/>
      <c r="I11" s="18"/>
      <c r="J11" s="18"/>
      <c r="K11" s="18"/>
      <c r="L11" s="18"/>
      <c r="M11" s="18"/>
    </row>
    <row r="12" customFormat="false" ht="21.75" hidden="false" customHeight="true" outlineLevel="0" collapsed="false">
      <c r="A12" s="38" t="s">
        <v>359</v>
      </c>
      <c r="B12" s="41" t="s">
        <v>360</v>
      </c>
      <c r="C12" s="41"/>
      <c r="D12" s="41" t="s">
        <v>361</v>
      </c>
      <c r="E12" s="41"/>
      <c r="F12" s="41" t="s">
        <v>362</v>
      </c>
      <c r="G12" s="41"/>
      <c r="H12" s="41" t="s">
        <v>363</v>
      </c>
      <c r="I12" s="41"/>
      <c r="J12" s="41" t="s">
        <v>364</v>
      </c>
      <c r="K12" s="41"/>
      <c r="L12" s="41" t="s">
        <v>365</v>
      </c>
      <c r="M12" s="41"/>
    </row>
    <row r="13" customFormat="false" ht="21.75" hidden="false" customHeight="true" outlineLevel="0" collapsed="false">
      <c r="A13" s="42" t="s">
        <v>366</v>
      </c>
    </row>
    <row r="14" customFormat="false" ht="21.75" hidden="false" customHeight="true" outlineLevel="0" collapsed="false">
      <c r="A14" s="43" t="s">
        <v>367</v>
      </c>
      <c r="B14" s="29" t="str">
        <f aca="false">A7</f>
        <v>Player 2</v>
      </c>
      <c r="C14" s="44"/>
      <c r="D14" s="29" t="str">
        <f aca="false">A8</f>
        <v>Player 3</v>
      </c>
      <c r="E14" s="44"/>
      <c r="F14" s="29" t="str">
        <f aca="false">A6</f>
        <v>Player 1</v>
      </c>
      <c r="G14" s="44"/>
      <c r="H14" s="29" t="str">
        <f aca="false">A8</f>
        <v>Player 3</v>
      </c>
      <c r="I14" s="44"/>
      <c r="J14" s="29" t="str">
        <f aca="false">A6</f>
        <v>Player 1</v>
      </c>
      <c r="K14" s="44"/>
      <c r="L14" s="29" t="str">
        <f aca="false">A9</f>
        <v>Player 4</v>
      </c>
      <c r="M14" s="44"/>
    </row>
    <row r="15" customFormat="false" ht="21.75" hidden="false" customHeight="true" outlineLevel="0" collapsed="false">
      <c r="A15" s="45"/>
      <c r="B15" s="29" t="str">
        <f aca="false">A6</f>
        <v>Player 1</v>
      </c>
      <c r="C15" s="46"/>
      <c r="D15" s="29" t="str">
        <f aca="false">A6</f>
        <v>Player 1</v>
      </c>
      <c r="E15" s="46"/>
      <c r="F15" s="29" t="str">
        <f aca="false">A9</f>
        <v>Player 4</v>
      </c>
      <c r="G15" s="46"/>
      <c r="H15" s="29" t="str">
        <f aca="false">A6</f>
        <v>Player 1</v>
      </c>
      <c r="I15" s="46"/>
      <c r="J15" s="29" t="str">
        <f aca="false">A9</f>
        <v>Player 4</v>
      </c>
      <c r="K15" s="46"/>
      <c r="L15" s="29" t="str">
        <f aca="false">A8</f>
        <v>Player 3</v>
      </c>
      <c r="M15" s="46"/>
    </row>
    <row r="16" customFormat="false" ht="18" hidden="false" customHeight="true" outlineLevel="0" collapsed="false">
      <c r="A16" s="47" t="s">
        <v>368</v>
      </c>
      <c r="B16" s="47" t="s">
        <v>369</v>
      </c>
      <c r="C16" s="44"/>
      <c r="D16" s="47" t="s">
        <v>369</v>
      </c>
      <c r="E16" s="44"/>
      <c r="F16" s="47" t="s">
        <v>369</v>
      </c>
      <c r="G16" s="44"/>
      <c r="H16" s="47" t="s">
        <v>369</v>
      </c>
      <c r="I16" s="44"/>
      <c r="J16" s="47" t="s">
        <v>369</v>
      </c>
      <c r="K16" s="44"/>
      <c r="L16" s="47" t="s">
        <v>369</v>
      </c>
      <c r="M16" s="44"/>
    </row>
    <row r="17" customFormat="false" ht="21.75" hidden="false" customHeight="true" outlineLevel="0" collapsed="false">
      <c r="A17" s="43" t="s">
        <v>370</v>
      </c>
      <c r="B17" s="29" t="str">
        <f aca="false">A8</f>
        <v>Player 3</v>
      </c>
      <c r="C17" s="44"/>
      <c r="D17" s="29" t="str">
        <f aca="false">A9</f>
        <v>Player 4</v>
      </c>
      <c r="E17" s="44"/>
      <c r="F17" s="29" t="str">
        <f aca="false">A8</f>
        <v>Player 3</v>
      </c>
      <c r="G17" s="44"/>
      <c r="H17" s="29" t="str">
        <f aca="false">A9</f>
        <v>Player 4</v>
      </c>
      <c r="I17" s="44"/>
      <c r="J17" s="29" t="str">
        <f aca="false">A8</f>
        <v>Player 3</v>
      </c>
      <c r="K17" s="44"/>
      <c r="L17" s="29" t="str">
        <f aca="false">A6</f>
        <v>Player 1</v>
      </c>
      <c r="M17" s="44"/>
    </row>
    <row r="18" customFormat="false" ht="21.75" hidden="false" customHeight="true" outlineLevel="0" collapsed="false">
      <c r="A18" s="45"/>
      <c r="B18" s="29" t="str">
        <f aca="false">A9</f>
        <v>Player 4</v>
      </c>
      <c r="C18" s="46"/>
      <c r="D18" s="29" t="str">
        <f aca="false">A7</f>
        <v>Player 2</v>
      </c>
      <c r="E18" s="46"/>
      <c r="F18" s="29" t="str">
        <f aca="false">A7</f>
        <v>Player 2</v>
      </c>
      <c r="G18" s="46"/>
      <c r="H18" s="29" t="str">
        <f aca="false">A7</f>
        <v>Player 2</v>
      </c>
      <c r="I18" s="46"/>
      <c r="J18" s="29" t="str">
        <f aca="false">A7</f>
        <v>Player 2</v>
      </c>
      <c r="K18" s="46"/>
      <c r="L18" s="29" t="str">
        <f aca="false">A7</f>
        <v>Player 2</v>
      </c>
      <c r="M18" s="46"/>
    </row>
  </sheetData>
  <mergeCells count="10">
    <mergeCell ref="A1:M1"/>
    <mergeCell ref="A2:M2"/>
    <mergeCell ref="A4:G4"/>
    <mergeCell ref="A11:M11"/>
    <mergeCell ref="B12:C12"/>
    <mergeCell ref="D12:E12"/>
    <mergeCell ref="F12:G12"/>
    <mergeCell ref="H12:I12"/>
    <mergeCell ref="J12:K12"/>
    <mergeCell ref="L12:M1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1" topLeftCell="A1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12"/>
    <col collapsed="false" customWidth="true" hidden="false" outlineLevel="0" max="3" min="3" style="0" width="7"/>
    <col collapsed="false" customWidth="true" hidden="false" outlineLevel="0" max="4" min="4" style="0" width="12"/>
    <col collapsed="false" customWidth="true" hidden="false" outlineLevel="0" max="5" min="5" style="0" width="7"/>
    <col collapsed="false" customWidth="true" hidden="false" outlineLevel="0" max="6" min="6" style="0" width="12"/>
    <col collapsed="false" customWidth="true" hidden="false" outlineLevel="0" max="7" min="7" style="0" width="7"/>
    <col collapsed="false" customWidth="true" hidden="false" outlineLevel="0" max="8" min="8" style="0" width="12"/>
    <col collapsed="false" customWidth="true" hidden="false" outlineLevel="0" max="9" min="9" style="0" width="7"/>
    <col collapsed="false" customWidth="true" hidden="false" outlineLevel="0" max="10" min="10" style="0" width="12"/>
    <col collapsed="false" customWidth="true" hidden="false" outlineLevel="0" max="11" min="11" style="0" width="7"/>
  </cols>
  <sheetData>
    <row r="1" customFormat="false" ht="22.05" hidden="false" customHeight="false" outlineLevel="0" collapsed="false">
      <c r="A1" s="36" t="s">
        <v>371</v>
      </c>
      <c r="B1" s="36"/>
      <c r="C1" s="36"/>
      <c r="D1" s="36"/>
      <c r="E1" s="36"/>
      <c r="F1" s="36"/>
      <c r="G1" s="36"/>
      <c r="H1" s="36"/>
      <c r="I1" s="36"/>
      <c r="J1" s="36"/>
      <c r="K1" s="36"/>
    </row>
    <row r="2" customFormat="false" ht="15" hidden="false" customHeight="false" outlineLevel="0" collapsed="false">
      <c r="A2" s="37" t="s">
        <v>372</v>
      </c>
      <c r="B2" s="37"/>
      <c r="C2" s="37"/>
      <c r="D2" s="37"/>
      <c r="E2" s="37"/>
      <c r="F2" s="37"/>
      <c r="G2" s="37"/>
      <c r="H2" s="37"/>
      <c r="I2" s="37"/>
      <c r="J2" s="37"/>
      <c r="K2" s="37"/>
    </row>
    <row r="4" customFormat="false" ht="15" hidden="false" customHeight="true" outlineLevel="0" collapsed="false">
      <c r="A4" s="18" t="s">
        <v>346</v>
      </c>
      <c r="B4" s="18"/>
      <c r="C4" s="18"/>
      <c r="D4" s="18"/>
      <c r="E4" s="18"/>
      <c r="F4" s="18"/>
      <c r="G4" s="18"/>
    </row>
    <row r="5" customFormat="false" ht="21.75" hidden="false" customHeight="true" outlineLevel="0" collapsed="false">
      <c r="A5" s="38" t="s">
        <v>347</v>
      </c>
      <c r="B5" s="38" t="s">
        <v>348</v>
      </c>
      <c r="C5" s="38" t="s">
        <v>349</v>
      </c>
      <c r="D5" s="38" t="s">
        <v>350</v>
      </c>
      <c r="E5" s="38" t="s">
        <v>351</v>
      </c>
      <c r="F5" s="38" t="s">
        <v>352</v>
      </c>
      <c r="G5" s="38" t="s">
        <v>353</v>
      </c>
    </row>
    <row r="6" customFormat="false" ht="15" hidden="false" customHeight="false" outlineLevel="0" collapsed="false">
      <c r="A6" s="39" t="s">
        <v>354</v>
      </c>
      <c r="B6" s="40" t="n">
        <f aca="false">IF(C16&gt;C19,1,0)+IF(E16&gt;E19,1,0)+IF(G19&gt;G16,1,0)+IF(I19&gt;I16,1,0)</f>
        <v>0</v>
      </c>
      <c r="C6" s="40" t="n">
        <f aca="false">N(C16)+N(E16)+N(G19)+N(I19)</f>
        <v>0</v>
      </c>
      <c r="D6" s="40" t="n">
        <f aca="false">N(C19)+N(E19)+N(G16)+N(I16)</f>
        <v>0</v>
      </c>
      <c r="E6" s="40" t="n">
        <f aca="false">C6-D6</f>
        <v>0</v>
      </c>
      <c r="F6" s="40" t="n">
        <f aca="false">RANK(B6,$B$6:$B$10)+SUMPRODUCT(($B$6:$B$10=B6)*($E$6:$E$10&gt;E6))</f>
        <v>1</v>
      </c>
      <c r="G6" s="40" t="n">
        <f aca="false">IF(N(C16)+N(C19)&gt;0,1,0)+IF(N(E16)+N(E19)&gt;0,1,0)+IF(N(G19)+N(G16)&gt;0,1,0)+IF(N(I19)+N(I16)&gt;0,1,0)</f>
        <v>0</v>
      </c>
    </row>
    <row r="7" customFormat="false" ht="15" hidden="false" customHeight="false" outlineLevel="0" collapsed="false">
      <c r="A7" s="39" t="s">
        <v>355</v>
      </c>
      <c r="B7" s="40" t="n">
        <f aca="false">IF(C16&gt;C19,1,0)+IF(E19&gt;E16,1,0)+IF(G16&gt;G19,1,0)+IF(K16&gt;K19,1,0)</f>
        <v>0</v>
      </c>
      <c r="C7" s="40" t="n">
        <f aca="false">N(C16)+N(E19)+N(G16)+N(K16)</f>
        <v>0</v>
      </c>
      <c r="D7" s="40" t="n">
        <f aca="false">N(C19)+N(E16)+N(G19)+N(K19)</f>
        <v>0</v>
      </c>
      <c r="E7" s="40" t="n">
        <f aca="false">C7-D7</f>
        <v>0</v>
      </c>
      <c r="F7" s="40" t="n">
        <f aca="false">RANK(B7,$B$6:$B$10)+SUMPRODUCT(($B$6:$B$10=B7)*($E$6:$E$10&gt;E7))</f>
        <v>1</v>
      </c>
      <c r="G7" s="40" t="n">
        <f aca="false">IF(N(C16)+N(C19)&gt;0,1,0)+IF(N(E19)+N(E16)&gt;0,1,0)+IF(N(G16)+N(G19)&gt;0,1,0)+IF(N(K16)+N(K19)&gt;0,1,0)</f>
        <v>0</v>
      </c>
    </row>
    <row r="8" customFormat="false" ht="15" hidden="false" customHeight="false" outlineLevel="0" collapsed="false">
      <c r="A8" s="39" t="s">
        <v>356</v>
      </c>
      <c r="B8" s="40" t="n">
        <f aca="false">IF(C19&gt;C16,1,0)+IF(E19&gt;E16,1,0)+IF(I19&gt;I16,1,0)+IF(K19&gt;K16,1,0)</f>
        <v>0</v>
      </c>
      <c r="C8" s="40" t="n">
        <f aca="false">N(C19)+N(E19)+N(I19)+N(K19)</f>
        <v>0</v>
      </c>
      <c r="D8" s="40" t="n">
        <f aca="false">N(C16)+N(E16)+N(I16)+N(K16)</f>
        <v>0</v>
      </c>
      <c r="E8" s="40" t="n">
        <f aca="false">C8-D8</f>
        <v>0</v>
      </c>
      <c r="F8" s="40" t="n">
        <f aca="false">RANK(B8,$B$6:$B$10)+SUMPRODUCT(($B$6:$B$10=B8)*($E$6:$E$10&gt;E8))</f>
        <v>1</v>
      </c>
      <c r="G8" s="40" t="n">
        <f aca="false">IF(N(C19)+N(C16)&gt;0,1,0)+IF(N(E19)+N(E16)&gt;0,1,0)+IF(N(I19)+N(I16)&gt;0,1,0)+IF(N(K19)+N(K16)&gt;0,1,0)</f>
        <v>0</v>
      </c>
    </row>
    <row r="9" customFormat="false" ht="15" hidden="false" customHeight="false" outlineLevel="0" collapsed="false">
      <c r="A9" s="39" t="s">
        <v>357</v>
      </c>
      <c r="B9" s="40" t="n">
        <f aca="false">IF(C19&gt;C16,1,0)+IF(G19&gt;G16,1,0)+IF(I16&gt;I19,1,0)+IF(K16&gt;K19,1,0)</f>
        <v>0</v>
      </c>
      <c r="C9" s="40" t="n">
        <f aca="false">N(C19)+N(G19)+N(I16)+N(K16)</f>
        <v>0</v>
      </c>
      <c r="D9" s="40" t="n">
        <f aca="false">N(C16)+N(G16)+N(I19)+N(K19)</f>
        <v>0</v>
      </c>
      <c r="E9" s="40" t="n">
        <f aca="false">C9-D9</f>
        <v>0</v>
      </c>
      <c r="F9" s="40" t="n">
        <f aca="false">RANK(B9,$B$6:$B$10)+SUMPRODUCT(($B$6:$B$10=B9)*($E$6:$E$10&gt;E9))</f>
        <v>1</v>
      </c>
      <c r="G9" s="40" t="n">
        <f aca="false">IF(N(C19)+N(C16)&gt;0,1,0)+IF(N(G19)+N(G16)&gt;0,1,0)+IF(N(I16)+N(I19)&gt;0,1,0)+IF(N(K16)+N(K19)&gt;0,1,0)</f>
        <v>0</v>
      </c>
    </row>
    <row r="10" customFormat="false" ht="15" hidden="false" customHeight="false" outlineLevel="0" collapsed="false">
      <c r="A10" s="39" t="s">
        <v>373</v>
      </c>
      <c r="B10" s="40" t="n">
        <f aca="false">IF(E16&gt;E19,1,0)+IF(G16&gt;G19,1,0)+IF(I16&gt;I19,1,0)+IF(K19&gt;K16,1,0)</f>
        <v>0</v>
      </c>
      <c r="C10" s="40" t="n">
        <f aca="false">N(E16)+N(G16)+N(I16)+N(K19)</f>
        <v>0</v>
      </c>
      <c r="D10" s="40" t="n">
        <f aca="false">N(E19)+N(G19)+N(I19)+N(K16)</f>
        <v>0</v>
      </c>
      <c r="E10" s="40" t="n">
        <f aca="false">C10-D10</f>
        <v>0</v>
      </c>
      <c r="F10" s="40" t="n">
        <f aca="false">RANK(B10,$B$6:$B$10)+SUMPRODUCT(($B$6:$B$10=B10)*($E$6:$E$10&gt;E10))</f>
        <v>1</v>
      </c>
      <c r="G10" s="40" t="n">
        <f aca="false">IF(N(E16)+N(E19)&gt;0,1,0)+IF(N(G16)+N(G19)&gt;0,1,0)+IF(N(I16)+N(I19)&gt;0,1,0)+IF(N(K19)+N(K16)&gt;0,1,0)</f>
        <v>0</v>
      </c>
    </row>
    <row r="12" customFormat="false" ht="15" hidden="false" customHeight="true" outlineLevel="0" collapsed="false">
      <c r="A12" s="18" t="s">
        <v>358</v>
      </c>
      <c r="B12" s="18"/>
      <c r="C12" s="18"/>
      <c r="D12" s="18"/>
      <c r="E12" s="18"/>
      <c r="F12" s="18"/>
      <c r="G12" s="18"/>
      <c r="H12" s="18"/>
      <c r="I12" s="18"/>
      <c r="J12" s="18"/>
      <c r="K12" s="18"/>
    </row>
    <row r="13" customFormat="false" ht="21.75" hidden="false" customHeight="true" outlineLevel="0" collapsed="false">
      <c r="A13" s="38" t="s">
        <v>359</v>
      </c>
      <c r="B13" s="41" t="s">
        <v>360</v>
      </c>
      <c r="C13" s="41"/>
      <c r="D13" s="41" t="s">
        <v>361</v>
      </c>
      <c r="E13" s="41"/>
      <c r="F13" s="41" t="s">
        <v>362</v>
      </c>
      <c r="G13" s="41"/>
      <c r="H13" s="41" t="s">
        <v>363</v>
      </c>
      <c r="I13" s="41"/>
      <c r="J13" s="41" t="s">
        <v>364</v>
      </c>
      <c r="K13" s="41"/>
    </row>
    <row r="14" customFormat="false" ht="21.75" hidden="false" customHeight="true" outlineLevel="0" collapsed="false">
      <c r="A14" s="42" t="s">
        <v>366</v>
      </c>
    </row>
    <row r="15" customFormat="false" ht="21.75" hidden="false" customHeight="true" outlineLevel="0" collapsed="false">
      <c r="A15" s="43" t="s">
        <v>367</v>
      </c>
      <c r="B15" s="29" t="str">
        <f aca="false">A6</f>
        <v>Player 1</v>
      </c>
      <c r="C15" s="44"/>
      <c r="D15" s="29" t="str">
        <f aca="false">A6</f>
        <v>Player 1</v>
      </c>
      <c r="E15" s="44"/>
      <c r="F15" s="29" t="str">
        <f aca="false">A7</f>
        <v>Player 2</v>
      </c>
      <c r="G15" s="44"/>
      <c r="H15" s="29" t="str">
        <f aca="false">A9</f>
        <v>Player 4</v>
      </c>
      <c r="I15" s="44"/>
      <c r="J15" s="29" t="str">
        <f aca="false">A9</f>
        <v>Player 4</v>
      </c>
      <c r="K15" s="44"/>
    </row>
    <row r="16" customFormat="false" ht="21.75" hidden="false" customHeight="true" outlineLevel="0" collapsed="false">
      <c r="A16" s="45"/>
      <c r="B16" s="29" t="str">
        <f aca="false">A7</f>
        <v>Player 2</v>
      </c>
      <c r="C16" s="46"/>
      <c r="D16" s="29" t="str">
        <f aca="false">A10</f>
        <v>Player 5</v>
      </c>
      <c r="E16" s="46"/>
      <c r="F16" s="29" t="str">
        <f aca="false">A10</f>
        <v>Player 5</v>
      </c>
      <c r="G16" s="46"/>
      <c r="H16" s="29" t="str">
        <f aca="false">A10</f>
        <v>Player 5</v>
      </c>
      <c r="I16" s="46"/>
      <c r="J16" s="29" t="str">
        <f aca="false">A7</f>
        <v>Player 2</v>
      </c>
      <c r="K16" s="46"/>
    </row>
    <row r="17" customFormat="false" ht="18" hidden="false" customHeight="true" outlineLevel="0" collapsed="false">
      <c r="A17" s="47" t="s">
        <v>368</v>
      </c>
      <c r="B17" s="47" t="s">
        <v>369</v>
      </c>
      <c r="C17" s="44"/>
      <c r="D17" s="47" t="s">
        <v>369</v>
      </c>
      <c r="E17" s="44"/>
      <c r="F17" s="47" t="s">
        <v>369</v>
      </c>
      <c r="G17" s="44"/>
      <c r="H17" s="47" t="s">
        <v>369</v>
      </c>
      <c r="I17" s="44"/>
      <c r="J17" s="47" t="s">
        <v>369</v>
      </c>
      <c r="K17" s="44"/>
    </row>
    <row r="18" customFormat="false" ht="21.75" hidden="false" customHeight="true" outlineLevel="0" collapsed="false">
      <c r="A18" s="43" t="s">
        <v>370</v>
      </c>
      <c r="B18" s="29" t="str">
        <f aca="false">A9</f>
        <v>Player 4</v>
      </c>
      <c r="C18" s="44"/>
      <c r="D18" s="29" t="str">
        <f aca="false">A7</f>
        <v>Player 2</v>
      </c>
      <c r="E18" s="44"/>
      <c r="F18" s="29" t="str">
        <f aca="false">A6</f>
        <v>Player 1</v>
      </c>
      <c r="G18" s="44"/>
      <c r="H18" s="29" t="str">
        <f aca="false">A8</f>
        <v>Player 3</v>
      </c>
      <c r="I18" s="44"/>
      <c r="J18" s="29" t="str">
        <f aca="false">A8</f>
        <v>Player 3</v>
      </c>
      <c r="K18" s="44"/>
    </row>
    <row r="19" customFormat="false" ht="21.75" hidden="false" customHeight="true" outlineLevel="0" collapsed="false">
      <c r="A19" s="45"/>
      <c r="B19" s="29" t="str">
        <f aca="false">A8</f>
        <v>Player 3</v>
      </c>
      <c r="C19" s="46"/>
      <c r="D19" s="29" t="str">
        <f aca="false">A8</f>
        <v>Player 3</v>
      </c>
      <c r="E19" s="46"/>
      <c r="F19" s="29" t="str">
        <f aca="false">A9</f>
        <v>Player 4</v>
      </c>
      <c r="G19" s="46"/>
      <c r="H19" s="29" t="str">
        <f aca="false">A6</f>
        <v>Player 1</v>
      </c>
      <c r="I19" s="46"/>
      <c r="J19" s="29" t="str">
        <f aca="false">A10</f>
        <v>Player 5</v>
      </c>
      <c r="K19" s="46"/>
    </row>
    <row r="21" customFormat="false" ht="21.75" hidden="false" customHeight="true" outlineLevel="0" collapsed="false">
      <c r="A21" s="48" t="s">
        <v>374</v>
      </c>
      <c r="B21" s="49" t="str">
        <f aca="false">A10</f>
        <v>Player 5</v>
      </c>
      <c r="C21" s="49"/>
      <c r="D21" s="49" t="str">
        <f aca="false">A9</f>
        <v>Player 4</v>
      </c>
      <c r="E21" s="49"/>
      <c r="F21" s="49" t="str">
        <f aca="false">A8</f>
        <v>Player 3</v>
      </c>
      <c r="G21" s="49"/>
      <c r="H21" s="49" t="str">
        <f aca="false">A7</f>
        <v>Player 2</v>
      </c>
      <c r="I21" s="49"/>
      <c r="J21" s="49" t="str">
        <f aca="false">A6</f>
        <v>Player 1</v>
      </c>
      <c r="K21" s="49"/>
    </row>
  </sheetData>
  <mergeCells count="14">
    <mergeCell ref="A1:K1"/>
    <mergeCell ref="A2:K2"/>
    <mergeCell ref="A4:G4"/>
    <mergeCell ref="A12:K12"/>
    <mergeCell ref="B13:C13"/>
    <mergeCell ref="D13:E13"/>
    <mergeCell ref="F13:G13"/>
    <mergeCell ref="H13:I13"/>
    <mergeCell ref="J13:K13"/>
    <mergeCell ref="B21:C21"/>
    <mergeCell ref="D21:E21"/>
    <mergeCell ref="F21:G21"/>
    <mergeCell ref="H21:I21"/>
    <mergeCell ref="J21:K2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2" topLeftCell="A1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12"/>
    <col collapsed="false" customWidth="true" hidden="false" outlineLevel="0" max="3" min="3" style="0" width="7"/>
    <col collapsed="false" customWidth="true" hidden="false" outlineLevel="0" max="4" min="4" style="0" width="12"/>
    <col collapsed="false" customWidth="true" hidden="false" outlineLevel="0" max="5" min="5" style="0" width="7"/>
    <col collapsed="false" customWidth="true" hidden="false" outlineLevel="0" max="6" min="6" style="0" width="12"/>
    <col collapsed="false" customWidth="true" hidden="false" outlineLevel="0" max="7" min="7" style="0" width="7"/>
    <col collapsed="false" customWidth="true" hidden="false" outlineLevel="0" max="8" min="8" style="0" width="12"/>
    <col collapsed="false" customWidth="true" hidden="false" outlineLevel="0" max="9" min="9" style="0" width="7"/>
    <col collapsed="false" customWidth="true" hidden="false" outlineLevel="0" max="10" min="10" style="0" width="12"/>
    <col collapsed="false" customWidth="true" hidden="false" outlineLevel="0" max="11" min="11" style="0" width="7"/>
    <col collapsed="false" customWidth="true" hidden="false" outlineLevel="0" max="12" min="12" style="0" width="12"/>
    <col collapsed="false" customWidth="true" hidden="false" outlineLevel="0" max="13" min="13" style="0" width="7"/>
  </cols>
  <sheetData>
    <row r="1" customFormat="false" ht="22.05" hidden="false" customHeight="false" outlineLevel="0" collapsed="false">
      <c r="A1" s="36" t="s">
        <v>375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</row>
    <row r="2" customFormat="false" ht="15" hidden="false" customHeight="false" outlineLevel="0" collapsed="false">
      <c r="A2" s="37" t="s">
        <v>376</v>
      </c>
      <c r="B2" s="37"/>
      <c r="C2" s="37"/>
      <c r="D2" s="37"/>
      <c r="E2" s="37"/>
      <c r="F2" s="37"/>
      <c r="G2" s="37"/>
      <c r="H2" s="37"/>
      <c r="I2" s="37"/>
      <c r="J2" s="37"/>
      <c r="K2" s="37"/>
      <c r="L2" s="37"/>
      <c r="M2" s="37"/>
    </row>
    <row r="4" customFormat="false" ht="15" hidden="false" customHeight="true" outlineLevel="0" collapsed="false">
      <c r="A4" s="18" t="s">
        <v>346</v>
      </c>
      <c r="B4" s="18"/>
      <c r="C4" s="18"/>
      <c r="D4" s="18"/>
      <c r="E4" s="18"/>
      <c r="F4" s="18"/>
      <c r="G4" s="18"/>
    </row>
    <row r="5" customFormat="false" ht="21.75" hidden="false" customHeight="true" outlineLevel="0" collapsed="false">
      <c r="A5" s="38" t="s">
        <v>347</v>
      </c>
      <c r="B5" s="38" t="s">
        <v>348</v>
      </c>
      <c r="C5" s="38" t="s">
        <v>349</v>
      </c>
      <c r="D5" s="38" t="s">
        <v>350</v>
      </c>
      <c r="E5" s="38" t="s">
        <v>351</v>
      </c>
      <c r="F5" s="38" t="s">
        <v>352</v>
      </c>
      <c r="G5" s="38" t="s">
        <v>353</v>
      </c>
    </row>
    <row r="6" customFormat="false" ht="15" hidden="false" customHeight="false" outlineLevel="0" collapsed="false">
      <c r="A6" s="39" t="s">
        <v>354</v>
      </c>
      <c r="B6" s="40" t="n">
        <f aca="false">IF(E17&gt;E20,1,0)+IF(G20&gt;G17,1,0)+IF(I17&gt;I20,1,0)+IF(K17&gt;K20,1,0)</f>
        <v>0</v>
      </c>
      <c r="C6" s="40" t="n">
        <f aca="false">N(E17)+N(G20)+N(I17)+N(K17)</f>
        <v>0</v>
      </c>
      <c r="D6" s="40" t="n">
        <f aca="false">N(E20)+N(G17)+N(I20)+N(K20)</f>
        <v>0</v>
      </c>
      <c r="E6" s="40" t="n">
        <f aca="false">C6-D6</f>
        <v>0</v>
      </c>
      <c r="F6" s="40" t="n">
        <f aca="false">RANK(B6,$B$6:$B$11)+SUMPRODUCT(($B$6:$B$11=B6)*($E$6:$E$11&gt;E6))</f>
        <v>1</v>
      </c>
      <c r="G6" s="40" t="n">
        <f aca="false">IF(N(E17)+N(E20)&gt;0,1,0)+IF(N(G20)+N(G17)&gt;0,1,0)+IF(N(I17)+N(I20)&gt;0,1,0)+IF(N(K17)+N(K20)&gt;0,1,0)</f>
        <v>0</v>
      </c>
    </row>
    <row r="7" customFormat="false" ht="15" hidden="false" customHeight="false" outlineLevel="0" collapsed="false">
      <c r="A7" s="39" t="s">
        <v>355</v>
      </c>
      <c r="B7" s="40" t="n">
        <f aca="false">IF(C17&gt;C20,1,0)+IF(G17&gt;G20,1,0)+IF(I17&gt;I20,1,0)+IF(M20&gt;M17,1,0)</f>
        <v>0</v>
      </c>
      <c r="C7" s="40" t="n">
        <f aca="false">N(C17)+N(G17)+N(I17)+N(M20)</f>
        <v>0</v>
      </c>
      <c r="D7" s="40" t="n">
        <f aca="false">N(C20)+N(G20)+N(I20)+N(M17)</f>
        <v>0</v>
      </c>
      <c r="E7" s="40" t="n">
        <f aca="false">C7-D7</f>
        <v>0</v>
      </c>
      <c r="F7" s="40" t="n">
        <f aca="false">RANK(B7,$B$6:$B$11)+SUMPRODUCT(($B$6:$B$11=B7)*($E$6:$E$11&gt;E7))</f>
        <v>1</v>
      </c>
      <c r="G7" s="40" t="n">
        <f aca="false">IF(N(C17)+N(C20)&gt;0,1,0)+IF(N(G17)+N(G20)&gt;0,1,0)+IF(N(I17)+N(I20)&gt;0,1,0)+IF(N(M20)+N(M17)&gt;0,1,0)</f>
        <v>0</v>
      </c>
    </row>
    <row r="8" customFormat="false" ht="15" hidden="false" customHeight="false" outlineLevel="0" collapsed="false">
      <c r="A8" s="39" t="s">
        <v>356</v>
      </c>
      <c r="B8" s="40" t="n">
        <f aca="false">IF(C20&gt;C17,1,0)+IF(E20&gt;E17,1,0)+IF(K17&gt;K20,1,0)+IF(M20&gt;M17,1,0)</f>
        <v>0</v>
      </c>
      <c r="C8" s="40" t="n">
        <f aca="false">N(C20)+N(E20)+N(K17)+N(M20)</f>
        <v>0</v>
      </c>
      <c r="D8" s="40" t="n">
        <f aca="false">N(C17)+N(E17)+N(K20)+N(M17)</f>
        <v>0</v>
      </c>
      <c r="E8" s="40" t="n">
        <f aca="false">C8-D8</f>
        <v>0</v>
      </c>
      <c r="F8" s="40" t="n">
        <f aca="false">RANK(B8,$B$6:$B$11)+SUMPRODUCT(($B$6:$B$11=B8)*($E$6:$E$11&gt;E8))</f>
        <v>1</v>
      </c>
      <c r="G8" s="40" t="n">
        <f aca="false">IF(N(C20)+N(C17)&gt;0,1,0)+IF(N(E20)+N(E17)&gt;0,1,0)+IF(N(K17)+N(K20)&gt;0,1,0)+IF(N(M20)+N(M17)&gt;0,1,0)</f>
        <v>0</v>
      </c>
    </row>
    <row r="9" customFormat="false" ht="15" hidden="false" customHeight="false" outlineLevel="0" collapsed="false">
      <c r="A9" s="39" t="s">
        <v>357</v>
      </c>
      <c r="B9" s="40" t="n">
        <f aca="false">IF(C20&gt;C17,1,0)+IF(E17&gt;E20,1,0)+IF(K20&gt;K17,1,0)+IF(M17&gt;M20,1,0)</f>
        <v>0</v>
      </c>
      <c r="C9" s="40" t="n">
        <f aca="false">N(C20)+N(E17)+N(K20)+N(M17)</f>
        <v>0</v>
      </c>
      <c r="D9" s="40" t="n">
        <f aca="false">N(C17)+N(E20)+N(K17)+N(M20)</f>
        <v>0</v>
      </c>
      <c r="E9" s="40" t="n">
        <f aca="false">C9-D9</f>
        <v>0</v>
      </c>
      <c r="F9" s="40" t="n">
        <f aca="false">RANK(B9,$B$6:$B$11)+SUMPRODUCT(($B$6:$B$11=B9)*($E$6:$E$11&gt;E9))</f>
        <v>1</v>
      </c>
      <c r="G9" s="40" t="n">
        <f aca="false">IF(N(C20)+N(C17)&gt;0,1,0)+IF(N(E17)+N(E20)&gt;0,1,0)+IF(N(K20)+N(K17)&gt;0,1,0)+IF(N(M17)+N(M20)&gt;0,1,0)</f>
        <v>0</v>
      </c>
    </row>
    <row r="10" customFormat="false" ht="15" hidden="false" customHeight="false" outlineLevel="0" collapsed="false">
      <c r="A10" s="39" t="s">
        <v>373</v>
      </c>
      <c r="B10" s="40" t="n">
        <f aca="false">IF(C17&gt;C20,1,0)+IF(G20&gt;G17,1,0)+IF(I20&gt;I17,1,0)+IF(M17&gt;M20,1,0)</f>
        <v>0</v>
      </c>
      <c r="C10" s="40" t="n">
        <f aca="false">N(C17)+N(G20)+N(I20)+N(M17)</f>
        <v>0</v>
      </c>
      <c r="D10" s="40" t="n">
        <f aca="false">N(C20)+N(G17)+N(I17)+N(M20)</f>
        <v>0</v>
      </c>
      <c r="E10" s="40" t="n">
        <f aca="false">C10-D10</f>
        <v>0</v>
      </c>
      <c r="F10" s="40" t="n">
        <f aca="false">RANK(B10,$B$6:$B$11)+SUMPRODUCT(($B$6:$B$11=B10)*($E$6:$E$11&gt;E10))</f>
        <v>1</v>
      </c>
      <c r="G10" s="40" t="n">
        <f aca="false">IF(N(C17)+N(C20)&gt;0,1,0)+IF(N(G20)+N(G17)&gt;0,1,0)+IF(N(I20)+N(I17)&gt;0,1,0)+IF(N(M17)+N(M20)&gt;0,1,0)</f>
        <v>0</v>
      </c>
    </row>
    <row r="11" customFormat="false" ht="15" hidden="false" customHeight="false" outlineLevel="0" collapsed="false">
      <c r="A11" s="39" t="s">
        <v>377</v>
      </c>
      <c r="B11" s="40" t="n">
        <f aca="false">IF(E20&gt;E17,1,0)+IF(G17&gt;G20,1,0)+IF(I20&gt;I17,1,0)+IF(K20&gt;K17,1,0)</f>
        <v>0</v>
      </c>
      <c r="C11" s="40" t="n">
        <f aca="false">N(E20)+N(G17)+N(I20)+N(K20)</f>
        <v>0</v>
      </c>
      <c r="D11" s="40" t="n">
        <f aca="false">N(E17)+N(G20)+N(I17)+N(K17)</f>
        <v>0</v>
      </c>
      <c r="E11" s="40" t="n">
        <f aca="false">C11-D11</f>
        <v>0</v>
      </c>
      <c r="F11" s="40" t="n">
        <f aca="false">RANK(B11,$B$6:$B$11)+SUMPRODUCT(($B$6:$B$11=B11)*($E$6:$E$11&gt;E11))</f>
        <v>1</v>
      </c>
      <c r="G11" s="40" t="n">
        <f aca="false">IF(N(E20)+N(E17)&gt;0,1,0)+IF(N(G17)+N(G20)&gt;0,1,0)+IF(N(I20)+N(I17)&gt;0,1,0)+IF(N(K20)+N(K17)&gt;0,1,0)</f>
        <v>0</v>
      </c>
    </row>
    <row r="13" customFormat="false" ht="15" hidden="false" customHeight="true" outlineLevel="0" collapsed="false">
      <c r="A13" s="18" t="s">
        <v>358</v>
      </c>
      <c r="B13" s="18"/>
      <c r="C13" s="18"/>
      <c r="D13" s="18"/>
      <c r="E13" s="18"/>
      <c r="F13" s="18"/>
      <c r="G13" s="18"/>
      <c r="H13" s="18"/>
      <c r="I13" s="18"/>
      <c r="J13" s="18"/>
      <c r="K13" s="18"/>
      <c r="L13" s="18"/>
      <c r="M13" s="18"/>
    </row>
    <row r="14" customFormat="false" ht="21.75" hidden="false" customHeight="true" outlineLevel="0" collapsed="false">
      <c r="A14" s="38" t="s">
        <v>359</v>
      </c>
      <c r="B14" s="41" t="s">
        <v>360</v>
      </c>
      <c r="C14" s="41"/>
      <c r="D14" s="41" t="s">
        <v>361</v>
      </c>
      <c r="E14" s="41"/>
      <c r="F14" s="41" t="s">
        <v>362</v>
      </c>
      <c r="G14" s="41"/>
      <c r="H14" s="41" t="s">
        <v>363</v>
      </c>
      <c r="I14" s="41"/>
      <c r="J14" s="41" t="s">
        <v>364</v>
      </c>
      <c r="K14" s="41"/>
      <c r="L14" s="41" t="s">
        <v>365</v>
      </c>
      <c r="M14" s="41"/>
    </row>
    <row r="15" customFormat="false" ht="21.75" hidden="false" customHeight="true" outlineLevel="0" collapsed="false">
      <c r="A15" s="42" t="s">
        <v>366</v>
      </c>
    </row>
    <row r="16" customFormat="false" ht="21.75" hidden="false" customHeight="true" outlineLevel="0" collapsed="false">
      <c r="A16" s="43" t="s">
        <v>367</v>
      </c>
      <c r="B16" s="29" t="str">
        <f aca="false">A7</f>
        <v>Player 2</v>
      </c>
      <c r="C16" s="44"/>
      <c r="D16" s="29" t="str">
        <f aca="false">A9</f>
        <v>Player 4</v>
      </c>
      <c r="E16" s="44"/>
      <c r="F16" s="29" t="str">
        <f aca="false">A7</f>
        <v>Player 2</v>
      </c>
      <c r="G16" s="44"/>
      <c r="H16" s="29" t="str">
        <f aca="false">A7</f>
        <v>Player 2</v>
      </c>
      <c r="I16" s="44"/>
      <c r="J16" s="29" t="str">
        <f aca="false">A8</f>
        <v>Player 3</v>
      </c>
      <c r="K16" s="44"/>
      <c r="L16" s="29" t="str">
        <f aca="false">A10</f>
        <v>Player 5</v>
      </c>
      <c r="M16" s="44"/>
    </row>
    <row r="17" customFormat="false" ht="21.75" hidden="false" customHeight="true" outlineLevel="0" collapsed="false">
      <c r="A17" s="45"/>
      <c r="B17" s="29" t="str">
        <f aca="false">A10</f>
        <v>Player 5</v>
      </c>
      <c r="C17" s="46"/>
      <c r="D17" s="29" t="str">
        <f aca="false">A6</f>
        <v>Player 1</v>
      </c>
      <c r="E17" s="46"/>
      <c r="F17" s="29" t="str">
        <f aca="false">A11</f>
        <v>Player 6</v>
      </c>
      <c r="G17" s="46"/>
      <c r="H17" s="29" t="str">
        <f aca="false">A6</f>
        <v>Player 1</v>
      </c>
      <c r="I17" s="46"/>
      <c r="J17" s="29" t="str">
        <f aca="false">A6</f>
        <v>Player 1</v>
      </c>
      <c r="K17" s="46"/>
      <c r="L17" s="29" t="str">
        <f aca="false">A9</f>
        <v>Player 4</v>
      </c>
      <c r="M17" s="46"/>
    </row>
    <row r="18" customFormat="false" ht="18" hidden="false" customHeight="true" outlineLevel="0" collapsed="false">
      <c r="A18" s="47" t="s">
        <v>368</v>
      </c>
      <c r="B18" s="47" t="s">
        <v>369</v>
      </c>
      <c r="C18" s="44"/>
      <c r="D18" s="47" t="s">
        <v>369</v>
      </c>
      <c r="E18" s="44"/>
      <c r="F18" s="47" t="s">
        <v>369</v>
      </c>
      <c r="G18" s="44"/>
      <c r="H18" s="47" t="s">
        <v>369</v>
      </c>
      <c r="I18" s="44"/>
      <c r="J18" s="47" t="s">
        <v>369</v>
      </c>
      <c r="K18" s="44"/>
      <c r="L18" s="47" t="s">
        <v>369</v>
      </c>
      <c r="M18" s="44"/>
    </row>
    <row r="19" customFormat="false" ht="21.75" hidden="false" customHeight="true" outlineLevel="0" collapsed="false">
      <c r="A19" s="43" t="s">
        <v>370</v>
      </c>
      <c r="B19" s="29" t="str">
        <f aca="false">A9</f>
        <v>Player 4</v>
      </c>
      <c r="C19" s="44"/>
      <c r="D19" s="29" t="str">
        <f aca="false">A8</f>
        <v>Player 3</v>
      </c>
      <c r="E19" s="44"/>
      <c r="F19" s="29" t="str">
        <f aca="false">A6</f>
        <v>Player 1</v>
      </c>
      <c r="G19" s="44"/>
      <c r="H19" s="29" t="str">
        <f aca="false">A10</f>
        <v>Player 5</v>
      </c>
      <c r="I19" s="44"/>
      <c r="J19" s="29" t="str">
        <f aca="false">A11</f>
        <v>Player 6</v>
      </c>
      <c r="K19" s="44"/>
      <c r="L19" s="29" t="str">
        <f aca="false">A8</f>
        <v>Player 3</v>
      </c>
      <c r="M19" s="44"/>
    </row>
    <row r="20" customFormat="false" ht="21.75" hidden="false" customHeight="true" outlineLevel="0" collapsed="false">
      <c r="A20" s="45"/>
      <c r="B20" s="29" t="str">
        <f aca="false">A8</f>
        <v>Player 3</v>
      </c>
      <c r="C20" s="46"/>
      <c r="D20" s="29" t="str">
        <f aca="false">A11</f>
        <v>Player 6</v>
      </c>
      <c r="E20" s="46"/>
      <c r="F20" s="29" t="str">
        <f aca="false">A10</f>
        <v>Player 5</v>
      </c>
      <c r="G20" s="46"/>
      <c r="H20" s="29" t="str">
        <f aca="false">A11</f>
        <v>Player 6</v>
      </c>
      <c r="I20" s="46"/>
      <c r="J20" s="29" t="str">
        <f aca="false">A9</f>
        <v>Player 4</v>
      </c>
      <c r="K20" s="46"/>
      <c r="L20" s="29" t="str">
        <f aca="false">A7</f>
        <v>Player 2</v>
      </c>
      <c r="M20" s="46"/>
    </row>
    <row r="22" customFormat="false" ht="21.75" hidden="false" customHeight="true" outlineLevel="0" collapsed="false">
      <c r="A22" s="48" t="s">
        <v>374</v>
      </c>
      <c r="B22" s="49" t="str">
        <f aca="false">A6&amp;", "&amp;A11</f>
        <v>Player 1, Player 6</v>
      </c>
      <c r="C22" s="49"/>
      <c r="D22" s="49" t="str">
        <f aca="false">A7&amp;", "&amp;A10</f>
        <v>Player 2, Player 5</v>
      </c>
      <c r="E22" s="49"/>
      <c r="F22" s="49" t="str">
        <f aca="false">A8&amp;", "&amp;A9</f>
        <v>Player 3, Player 4</v>
      </c>
      <c r="G22" s="49"/>
      <c r="H22" s="49" t="str">
        <f aca="false">A8&amp;", "&amp;A9</f>
        <v>Player 3, Player 4</v>
      </c>
      <c r="I22" s="49"/>
      <c r="J22" s="49" t="str">
        <f aca="false">A7&amp;", "&amp;A10</f>
        <v>Player 2, Player 5</v>
      </c>
      <c r="K22" s="49"/>
      <c r="L22" s="49" t="str">
        <f aca="false">A6&amp;", "&amp;A11</f>
        <v>Player 1, Player 6</v>
      </c>
      <c r="M22" s="49"/>
    </row>
  </sheetData>
  <mergeCells count="16">
    <mergeCell ref="A1:M1"/>
    <mergeCell ref="A2:M2"/>
    <mergeCell ref="A4:G4"/>
    <mergeCell ref="A13:M13"/>
    <mergeCell ref="B14:C14"/>
    <mergeCell ref="D14:E14"/>
    <mergeCell ref="F14:G14"/>
    <mergeCell ref="H14:I14"/>
    <mergeCell ref="J14:K14"/>
    <mergeCell ref="L14:M14"/>
    <mergeCell ref="B22:C22"/>
    <mergeCell ref="D22:E22"/>
    <mergeCell ref="F22:G22"/>
    <mergeCell ref="H22:I22"/>
    <mergeCell ref="J22:K22"/>
    <mergeCell ref="L22:M2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2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3" topLeftCell="A1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12"/>
    <col collapsed="false" customWidth="true" hidden="false" outlineLevel="0" max="3" min="3" style="0" width="7"/>
    <col collapsed="false" customWidth="true" hidden="false" outlineLevel="0" max="4" min="4" style="0" width="12"/>
    <col collapsed="false" customWidth="true" hidden="false" outlineLevel="0" max="5" min="5" style="0" width="7"/>
    <col collapsed="false" customWidth="true" hidden="false" outlineLevel="0" max="6" min="6" style="0" width="12"/>
    <col collapsed="false" customWidth="true" hidden="false" outlineLevel="0" max="7" min="7" style="0" width="7"/>
    <col collapsed="false" customWidth="true" hidden="false" outlineLevel="0" max="8" min="8" style="0" width="12"/>
    <col collapsed="false" customWidth="true" hidden="false" outlineLevel="0" max="9" min="9" style="0" width="7"/>
    <col collapsed="false" customWidth="true" hidden="false" outlineLevel="0" max="10" min="10" style="0" width="12"/>
    <col collapsed="false" customWidth="true" hidden="false" outlineLevel="0" max="11" min="11" style="0" width="7"/>
    <col collapsed="false" customWidth="true" hidden="false" outlineLevel="0" max="12" min="12" style="0" width="12"/>
    <col collapsed="false" customWidth="true" hidden="false" outlineLevel="0" max="13" min="13" style="0" width="7"/>
    <col collapsed="false" customWidth="true" hidden="false" outlineLevel="0" max="14" min="14" style="0" width="12"/>
    <col collapsed="false" customWidth="true" hidden="false" outlineLevel="0" max="15" min="15" style="0" width="7"/>
  </cols>
  <sheetData>
    <row r="1" customFormat="false" ht="22.05" hidden="false" customHeight="false" outlineLevel="0" collapsed="false">
      <c r="A1" s="36" t="s">
        <v>378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</row>
    <row r="2" customFormat="false" ht="15" hidden="false" customHeight="false" outlineLevel="0" collapsed="false">
      <c r="A2" s="37" t="s">
        <v>379</v>
      </c>
      <c r="B2" s="37"/>
      <c r="C2" s="37"/>
      <c r="D2" s="37"/>
      <c r="E2" s="37"/>
      <c r="F2" s="37"/>
      <c r="G2" s="37"/>
      <c r="H2" s="37"/>
      <c r="I2" s="37"/>
      <c r="J2" s="37"/>
      <c r="K2" s="37"/>
      <c r="L2" s="37"/>
      <c r="M2" s="37"/>
      <c r="N2" s="37"/>
      <c r="O2" s="37"/>
    </row>
    <row r="4" customFormat="false" ht="15" hidden="false" customHeight="true" outlineLevel="0" collapsed="false">
      <c r="A4" s="18" t="s">
        <v>346</v>
      </c>
      <c r="B4" s="18"/>
      <c r="C4" s="18"/>
      <c r="D4" s="18"/>
      <c r="E4" s="18"/>
      <c r="F4" s="18"/>
      <c r="G4" s="18"/>
    </row>
    <row r="5" customFormat="false" ht="21.75" hidden="false" customHeight="true" outlineLevel="0" collapsed="false">
      <c r="A5" s="38" t="s">
        <v>347</v>
      </c>
      <c r="B5" s="38" t="s">
        <v>348</v>
      </c>
      <c r="C5" s="38" t="s">
        <v>349</v>
      </c>
      <c r="D5" s="38" t="s">
        <v>350</v>
      </c>
      <c r="E5" s="38" t="s">
        <v>351</v>
      </c>
      <c r="F5" s="38" t="s">
        <v>352</v>
      </c>
      <c r="G5" s="38" t="s">
        <v>353</v>
      </c>
    </row>
    <row r="6" customFormat="false" ht="15" hidden="false" customHeight="false" outlineLevel="0" collapsed="false">
      <c r="A6" s="39" t="s">
        <v>354</v>
      </c>
      <c r="B6" s="40" t="n">
        <f aca="false">IF(E18&gt;E21,1,0)+IF(G21&gt;G18,1,0)+IF(K21&gt;K18,1,0)+IF(M18&gt;M21,1,0)</f>
        <v>0</v>
      </c>
      <c r="C6" s="40" t="n">
        <f aca="false">N(E18)+N(G21)+N(K21)+N(M18)</f>
        <v>0</v>
      </c>
      <c r="D6" s="40" t="n">
        <f aca="false">N(E21)+N(G18)+N(K18)+N(M21)</f>
        <v>0</v>
      </c>
      <c r="E6" s="40" t="n">
        <f aca="false">C6-D6</f>
        <v>0</v>
      </c>
      <c r="F6" s="40" t="n">
        <f aca="false">RANK(B6,$B$6:$B$12)+SUMPRODUCT(($B$6:$B$12=B6)*($E$6:$E$12&gt;E6))</f>
        <v>1</v>
      </c>
      <c r="G6" s="40" t="n">
        <f aca="false">IF(N(E18)+N(E21)&gt;0,1,0)+IF(N(G21)+N(G18)&gt;0,1,0)+IF(N(K21)+N(K18)&gt;0,1,0)+IF(N(M18)+N(M21)&gt;0,1,0)</f>
        <v>0</v>
      </c>
    </row>
    <row r="7" customFormat="false" ht="15" hidden="false" customHeight="false" outlineLevel="0" collapsed="false">
      <c r="A7" s="39" t="s">
        <v>355</v>
      </c>
      <c r="B7" s="40" t="n">
        <f aca="false">IF(E21&gt;E18,1,0)+IF(G21&gt;G18,1,0)+IF(I21&gt;I18,1,0)+IF(O18&gt;O21,1,0)</f>
        <v>0</v>
      </c>
      <c r="C7" s="40" t="n">
        <f aca="false">N(E21)+N(G21)+N(I21)+N(O18)</f>
        <v>0</v>
      </c>
      <c r="D7" s="40" t="n">
        <f aca="false">N(E18)+N(G18)+N(I18)+N(O21)</f>
        <v>0</v>
      </c>
      <c r="E7" s="40" t="n">
        <f aca="false">C7-D7</f>
        <v>0</v>
      </c>
      <c r="F7" s="40" t="n">
        <f aca="false">RANK(B7,$B$6:$B$12)+SUMPRODUCT(($B$6:$B$12=B7)*($E$6:$E$12&gt;E7))</f>
        <v>1</v>
      </c>
      <c r="G7" s="40" t="n">
        <f aca="false">IF(N(E21)+N(E18)&gt;0,1,0)+IF(N(G21)+N(G18)&gt;0,1,0)+IF(N(I21)+N(I18)&gt;0,1,0)+IF(N(O18)+N(O21)&gt;0,1,0)</f>
        <v>0</v>
      </c>
    </row>
    <row r="8" customFormat="false" ht="15" hidden="false" customHeight="false" outlineLevel="0" collapsed="false">
      <c r="A8" s="39" t="s">
        <v>356</v>
      </c>
      <c r="B8" s="40" t="n">
        <f aca="false">IF(C21&gt;C18,1,0)+IF(G18&gt;G21,1,0)+IF(I18&gt;I21,1,0)+IF(O18&gt;O21,1,0)</f>
        <v>0</v>
      </c>
      <c r="C8" s="40" t="n">
        <f aca="false">N(C21)+N(G18)+N(I18)+N(O18)</f>
        <v>0</v>
      </c>
      <c r="D8" s="40" t="n">
        <f aca="false">N(C18)+N(G21)+N(I21)+N(O21)</f>
        <v>0</v>
      </c>
      <c r="E8" s="40" t="n">
        <f aca="false">C8-D8</f>
        <v>0</v>
      </c>
      <c r="F8" s="40" t="n">
        <f aca="false">RANK(B8,$B$6:$B$12)+SUMPRODUCT(($B$6:$B$12=B8)*($E$6:$E$12&gt;E8))</f>
        <v>1</v>
      </c>
      <c r="G8" s="40" t="n">
        <f aca="false">IF(N(C21)+N(C18)&gt;0,1,0)+IF(N(G18)+N(G21)&gt;0,1,0)+IF(N(I18)+N(I21)&gt;0,1,0)+IF(N(O18)+N(O21)&gt;0,1,0)</f>
        <v>0</v>
      </c>
    </row>
    <row r="9" customFormat="false" ht="15" hidden="false" customHeight="false" outlineLevel="0" collapsed="false">
      <c r="A9" s="39" t="s">
        <v>357</v>
      </c>
      <c r="B9" s="40" t="n">
        <f aca="false">IF(C18&gt;C21,1,0)+IF(G18&gt;G21,1,0)+IF(M18&gt;M21,1,0)+IF(O21&gt;O18,1,0)</f>
        <v>0</v>
      </c>
      <c r="C9" s="40" t="n">
        <f aca="false">N(C18)+N(G18)+N(M18)+N(O21)</f>
        <v>0</v>
      </c>
      <c r="D9" s="40" t="n">
        <f aca="false">N(C21)+N(G21)+N(M21)+N(O18)</f>
        <v>0</v>
      </c>
      <c r="E9" s="40" t="n">
        <f aca="false">C9-D9</f>
        <v>0</v>
      </c>
      <c r="F9" s="40" t="n">
        <f aca="false">RANK(B9,$B$6:$B$12)+SUMPRODUCT(($B$6:$B$12=B9)*($E$6:$E$12&gt;E9))</f>
        <v>1</v>
      </c>
      <c r="G9" s="40" t="n">
        <f aca="false">IF(N(C18)+N(C21)&gt;0,1,0)+IF(N(G18)+N(G21)&gt;0,1,0)+IF(N(M18)+N(M21)&gt;0,1,0)+IF(N(O21)+N(O18)&gt;0,1,0)</f>
        <v>0</v>
      </c>
    </row>
    <row r="10" customFormat="false" ht="15" hidden="false" customHeight="false" outlineLevel="0" collapsed="false">
      <c r="A10" s="39" t="s">
        <v>373</v>
      </c>
      <c r="B10" s="40" t="n">
        <f aca="false">IF(C21&gt;C18,1,0)+IF(E18&gt;E21,1,0)+IF(K18&gt;K21,1,0)+IF(O21&gt;O18,1,0)</f>
        <v>0</v>
      </c>
      <c r="C10" s="40" t="n">
        <f aca="false">N(C21)+N(E18)+N(K18)+N(O21)</f>
        <v>0</v>
      </c>
      <c r="D10" s="40" t="n">
        <f aca="false">N(C18)+N(E21)+N(K21)+N(O18)</f>
        <v>0</v>
      </c>
      <c r="E10" s="40" t="n">
        <f aca="false">C10-D10</f>
        <v>0</v>
      </c>
      <c r="F10" s="40" t="n">
        <f aca="false">RANK(B10,$B$6:$B$12)+SUMPRODUCT(($B$6:$B$12=B10)*($E$6:$E$12&gt;E10))</f>
        <v>1</v>
      </c>
      <c r="G10" s="40" t="n">
        <f aca="false">IF(N(C21)+N(C18)&gt;0,1,0)+IF(N(E18)+N(E21)&gt;0,1,0)+IF(N(K18)+N(K21)&gt;0,1,0)+IF(N(O21)+N(O18)&gt;0,1,0)</f>
        <v>0</v>
      </c>
    </row>
    <row r="11" customFormat="false" ht="15" hidden="false" customHeight="false" outlineLevel="0" collapsed="false">
      <c r="A11" s="39" t="s">
        <v>377</v>
      </c>
      <c r="B11" s="40" t="n">
        <f aca="false">IF(C18&gt;C21,1,0)+IF(I21&gt;I18,1,0)+IF(K21&gt;K18,1,0)+IF(M21&gt;M18,1,0)</f>
        <v>0</v>
      </c>
      <c r="C11" s="40" t="n">
        <f aca="false">N(C18)+N(I21)+N(K21)+N(M21)</f>
        <v>0</v>
      </c>
      <c r="D11" s="40" t="n">
        <f aca="false">N(C21)+N(I18)+N(K18)+N(M18)</f>
        <v>0</v>
      </c>
      <c r="E11" s="40" t="n">
        <f aca="false">C11-D11</f>
        <v>0</v>
      </c>
      <c r="F11" s="40" t="n">
        <f aca="false">RANK(B11,$B$6:$B$12)+SUMPRODUCT(($B$6:$B$12=B11)*($E$6:$E$12&gt;E11))</f>
        <v>1</v>
      </c>
      <c r="G11" s="40" t="n">
        <f aca="false">IF(N(C18)+N(C21)&gt;0,1,0)+IF(N(I21)+N(I18)&gt;0,1,0)+IF(N(K21)+N(K18)&gt;0,1,0)+IF(N(M21)+N(M18)&gt;0,1,0)</f>
        <v>0</v>
      </c>
    </row>
    <row r="12" customFormat="false" ht="15" hidden="false" customHeight="false" outlineLevel="0" collapsed="false">
      <c r="A12" s="39" t="s">
        <v>380</v>
      </c>
      <c r="B12" s="40" t="n">
        <f aca="false">IF(E21&gt;E18,1,0)+IF(I18&gt;I21,1,0)+IF(K18&gt;K21,1,0)+IF(M21&gt;M18,1,0)</f>
        <v>0</v>
      </c>
      <c r="C12" s="40" t="n">
        <f aca="false">N(E21)+N(I18)+N(K18)+N(M21)</f>
        <v>0</v>
      </c>
      <c r="D12" s="40" t="n">
        <f aca="false">N(E18)+N(I21)+N(K21)+N(M18)</f>
        <v>0</v>
      </c>
      <c r="E12" s="40" t="n">
        <f aca="false">C12-D12</f>
        <v>0</v>
      </c>
      <c r="F12" s="40" t="n">
        <f aca="false">RANK(B12,$B$6:$B$12)+SUMPRODUCT(($B$6:$B$12=B12)*($E$6:$E$12&gt;E12))</f>
        <v>1</v>
      </c>
      <c r="G12" s="40" t="n">
        <f aca="false">IF(N(E21)+N(E18)&gt;0,1,0)+IF(N(I18)+N(I21)&gt;0,1,0)+IF(N(K18)+N(K21)&gt;0,1,0)+IF(N(M21)+N(M18)&gt;0,1,0)</f>
        <v>0</v>
      </c>
    </row>
    <row r="14" customFormat="false" ht="15" hidden="false" customHeight="true" outlineLevel="0" collapsed="false">
      <c r="A14" s="18" t="s">
        <v>358</v>
      </c>
      <c r="B14" s="18"/>
      <c r="C14" s="18"/>
      <c r="D14" s="18"/>
      <c r="E14" s="18"/>
      <c r="F14" s="18"/>
      <c r="G14" s="18"/>
      <c r="H14" s="18"/>
      <c r="I14" s="18"/>
      <c r="J14" s="18"/>
      <c r="K14" s="18"/>
      <c r="L14" s="18"/>
      <c r="M14" s="18"/>
      <c r="N14" s="18"/>
      <c r="O14" s="18"/>
    </row>
    <row r="15" customFormat="false" ht="21.75" hidden="false" customHeight="true" outlineLevel="0" collapsed="false">
      <c r="A15" s="38" t="s">
        <v>359</v>
      </c>
      <c r="B15" s="41" t="s">
        <v>360</v>
      </c>
      <c r="C15" s="41"/>
      <c r="D15" s="41" t="s">
        <v>361</v>
      </c>
      <c r="E15" s="41"/>
      <c r="F15" s="41" t="s">
        <v>362</v>
      </c>
      <c r="G15" s="41"/>
      <c r="H15" s="41" t="s">
        <v>363</v>
      </c>
      <c r="I15" s="41"/>
      <c r="J15" s="41" t="s">
        <v>364</v>
      </c>
      <c r="K15" s="41"/>
      <c r="L15" s="41" t="s">
        <v>365</v>
      </c>
      <c r="M15" s="41"/>
      <c r="N15" s="41" t="s">
        <v>381</v>
      </c>
      <c r="O15" s="41"/>
    </row>
    <row r="16" customFormat="false" ht="21.75" hidden="false" customHeight="true" outlineLevel="0" collapsed="false">
      <c r="A16" s="42" t="s">
        <v>366</v>
      </c>
    </row>
    <row r="17" customFormat="false" ht="21.75" hidden="false" customHeight="true" outlineLevel="0" collapsed="false">
      <c r="A17" s="43" t="s">
        <v>367</v>
      </c>
      <c r="B17" s="29" t="str">
        <f aca="false">A9</f>
        <v>Player 4</v>
      </c>
      <c r="C17" s="44"/>
      <c r="D17" s="29" t="str">
        <f aca="false">A10</f>
        <v>Player 5</v>
      </c>
      <c r="E17" s="44"/>
      <c r="F17" s="29" t="str">
        <f aca="false">A9</f>
        <v>Player 4</v>
      </c>
      <c r="G17" s="44"/>
      <c r="H17" s="29" t="str">
        <f aca="false">A12</f>
        <v>Player 7</v>
      </c>
      <c r="I17" s="44"/>
      <c r="J17" s="29" t="str">
        <f aca="false">A10</f>
        <v>Player 5</v>
      </c>
      <c r="K17" s="44"/>
      <c r="L17" s="29" t="str">
        <f aca="false">A6</f>
        <v>Player 1</v>
      </c>
      <c r="M17" s="44"/>
      <c r="N17" s="29" t="str">
        <f aca="false">A8</f>
        <v>Player 3</v>
      </c>
      <c r="O17" s="44"/>
    </row>
    <row r="18" customFormat="false" ht="21.75" hidden="false" customHeight="true" outlineLevel="0" collapsed="false">
      <c r="A18" s="45"/>
      <c r="B18" s="29" t="str">
        <f aca="false">A11</f>
        <v>Player 6</v>
      </c>
      <c r="C18" s="46"/>
      <c r="D18" s="29" t="str">
        <f aca="false">A6</f>
        <v>Player 1</v>
      </c>
      <c r="E18" s="46"/>
      <c r="F18" s="29" t="str">
        <f aca="false">A8</f>
        <v>Player 3</v>
      </c>
      <c r="G18" s="46"/>
      <c r="H18" s="29" t="str">
        <f aca="false">A8</f>
        <v>Player 3</v>
      </c>
      <c r="I18" s="46"/>
      <c r="J18" s="29" t="str">
        <f aca="false">A12</f>
        <v>Player 7</v>
      </c>
      <c r="K18" s="46"/>
      <c r="L18" s="29" t="str">
        <f aca="false">A9</f>
        <v>Player 4</v>
      </c>
      <c r="M18" s="46"/>
      <c r="N18" s="29" t="str">
        <f aca="false">A7</f>
        <v>Player 2</v>
      </c>
      <c r="O18" s="46"/>
    </row>
    <row r="19" customFormat="false" ht="18" hidden="false" customHeight="true" outlineLevel="0" collapsed="false">
      <c r="A19" s="47" t="s">
        <v>368</v>
      </c>
      <c r="B19" s="47" t="s">
        <v>369</v>
      </c>
      <c r="C19" s="44"/>
      <c r="D19" s="47" t="s">
        <v>369</v>
      </c>
      <c r="E19" s="44"/>
      <c r="F19" s="47" t="s">
        <v>369</v>
      </c>
      <c r="G19" s="44"/>
      <c r="H19" s="47" t="s">
        <v>369</v>
      </c>
      <c r="I19" s="44"/>
      <c r="J19" s="47" t="s">
        <v>369</v>
      </c>
      <c r="K19" s="44"/>
      <c r="L19" s="47" t="s">
        <v>369</v>
      </c>
      <c r="M19" s="44"/>
      <c r="N19" s="47" t="s">
        <v>369</v>
      </c>
      <c r="O19" s="44"/>
    </row>
    <row r="20" customFormat="false" ht="21.75" hidden="false" customHeight="true" outlineLevel="0" collapsed="false">
      <c r="A20" s="43" t="s">
        <v>370</v>
      </c>
      <c r="B20" s="29" t="str">
        <f aca="false">A8</f>
        <v>Player 3</v>
      </c>
      <c r="C20" s="44"/>
      <c r="D20" s="29" t="str">
        <f aca="false">A7</f>
        <v>Player 2</v>
      </c>
      <c r="E20" s="44"/>
      <c r="F20" s="29" t="str">
        <f aca="false">A7</f>
        <v>Player 2</v>
      </c>
      <c r="G20" s="44"/>
      <c r="H20" s="29" t="str">
        <f aca="false">A11</f>
        <v>Player 6</v>
      </c>
      <c r="I20" s="44"/>
      <c r="J20" s="29" t="str">
        <f aca="false">A6</f>
        <v>Player 1</v>
      </c>
      <c r="K20" s="44"/>
      <c r="L20" s="29" t="str">
        <f aca="false">A12</f>
        <v>Player 7</v>
      </c>
      <c r="M20" s="44"/>
      <c r="N20" s="29" t="str">
        <f aca="false">A9</f>
        <v>Player 4</v>
      </c>
      <c r="O20" s="44"/>
    </row>
    <row r="21" customFormat="false" ht="21.75" hidden="false" customHeight="true" outlineLevel="0" collapsed="false">
      <c r="A21" s="45"/>
      <c r="B21" s="29" t="str">
        <f aca="false">A10</f>
        <v>Player 5</v>
      </c>
      <c r="C21" s="46"/>
      <c r="D21" s="29" t="str">
        <f aca="false">A12</f>
        <v>Player 7</v>
      </c>
      <c r="E21" s="46"/>
      <c r="F21" s="29" t="str">
        <f aca="false">A6</f>
        <v>Player 1</v>
      </c>
      <c r="G21" s="46"/>
      <c r="H21" s="29" t="str">
        <f aca="false">A7</f>
        <v>Player 2</v>
      </c>
      <c r="I21" s="46"/>
      <c r="J21" s="29" t="str">
        <f aca="false">A11</f>
        <v>Player 6</v>
      </c>
      <c r="K21" s="46"/>
      <c r="L21" s="29" t="str">
        <f aca="false">A11</f>
        <v>Player 6</v>
      </c>
      <c r="M21" s="46"/>
      <c r="N21" s="29" t="str">
        <f aca="false">A10</f>
        <v>Player 5</v>
      </c>
      <c r="O21" s="46"/>
    </row>
    <row r="23" customFormat="false" ht="21.75" hidden="false" customHeight="true" outlineLevel="0" collapsed="false">
      <c r="A23" s="48" t="s">
        <v>374</v>
      </c>
      <c r="B23" s="49" t="str">
        <f aca="false">A6&amp;", "&amp;A7&amp;", "&amp;A12</f>
        <v>Player 1, Player 2, Player 7</v>
      </c>
      <c r="C23" s="49"/>
      <c r="D23" s="49" t="str">
        <f aca="false">A8&amp;", "&amp;A9&amp;", "&amp;A11</f>
        <v>Player 3, Player 4, Player 6</v>
      </c>
      <c r="E23" s="49"/>
      <c r="F23" s="49" t="str">
        <f aca="false">A10&amp;", "&amp;A11&amp;", "&amp;A12</f>
        <v>Player 5, Player 6, Player 7</v>
      </c>
      <c r="G23" s="49"/>
      <c r="H23" s="49" t="str">
        <f aca="false">A6&amp;", "&amp;A9&amp;", "&amp;A10</f>
        <v>Player 1, Player 4, Player 5</v>
      </c>
      <c r="I23" s="49"/>
      <c r="J23" s="49" t="str">
        <f aca="false">A7&amp;", "&amp;A8&amp;", "&amp;A9</f>
        <v>Player 2, Player 3, Player 4</v>
      </c>
      <c r="K23" s="49"/>
      <c r="L23" s="49" t="str">
        <f aca="false">A7&amp;", "&amp;A8&amp;", "&amp;A10</f>
        <v>Player 2, Player 3, Player 5</v>
      </c>
      <c r="M23" s="49"/>
      <c r="N23" s="49" t="str">
        <f aca="false">A6&amp;", "&amp;A11&amp;", "&amp;A12</f>
        <v>Player 1, Player 6, Player 7</v>
      </c>
      <c r="O23" s="49"/>
    </row>
  </sheetData>
  <mergeCells count="18">
    <mergeCell ref="A1:O1"/>
    <mergeCell ref="A2:O2"/>
    <mergeCell ref="A4:G4"/>
    <mergeCell ref="A14:O14"/>
    <mergeCell ref="B15:C15"/>
    <mergeCell ref="D15:E15"/>
    <mergeCell ref="F15:G15"/>
    <mergeCell ref="H15:I15"/>
    <mergeCell ref="J15:K15"/>
    <mergeCell ref="L15:M15"/>
    <mergeCell ref="N15:O15"/>
    <mergeCell ref="B23:C23"/>
    <mergeCell ref="D23:E23"/>
    <mergeCell ref="F23:G23"/>
    <mergeCell ref="H23:I23"/>
    <mergeCell ref="J23:K23"/>
    <mergeCell ref="L23:M23"/>
    <mergeCell ref="N23:O2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2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4" topLeftCell="A1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12"/>
    <col collapsed="false" customWidth="true" hidden="false" outlineLevel="0" max="3" min="3" style="0" width="7"/>
    <col collapsed="false" customWidth="true" hidden="false" outlineLevel="0" max="4" min="4" style="0" width="12"/>
    <col collapsed="false" customWidth="true" hidden="false" outlineLevel="0" max="5" min="5" style="0" width="7"/>
    <col collapsed="false" customWidth="true" hidden="false" outlineLevel="0" max="6" min="6" style="0" width="12"/>
    <col collapsed="false" customWidth="true" hidden="false" outlineLevel="0" max="7" min="7" style="0" width="7"/>
    <col collapsed="false" customWidth="true" hidden="false" outlineLevel="0" max="8" min="8" style="0" width="12"/>
    <col collapsed="false" customWidth="true" hidden="false" outlineLevel="0" max="9" min="9" style="0" width="7"/>
    <col collapsed="false" customWidth="true" hidden="false" outlineLevel="0" max="10" min="10" style="0" width="12"/>
    <col collapsed="false" customWidth="true" hidden="false" outlineLevel="0" max="11" min="11" style="0" width="7"/>
    <col collapsed="false" customWidth="true" hidden="false" outlineLevel="0" max="12" min="12" style="0" width="12"/>
    <col collapsed="false" customWidth="true" hidden="false" outlineLevel="0" max="13" min="13" style="0" width="7"/>
  </cols>
  <sheetData>
    <row r="1" customFormat="false" ht="22.05" hidden="false" customHeight="false" outlineLevel="0" collapsed="false">
      <c r="A1" s="36" t="s">
        <v>382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</row>
    <row r="2" customFormat="false" ht="15" hidden="false" customHeight="false" outlineLevel="0" collapsed="false">
      <c r="A2" s="37" t="s">
        <v>383</v>
      </c>
      <c r="B2" s="37"/>
      <c r="C2" s="37"/>
      <c r="D2" s="37"/>
      <c r="E2" s="37"/>
      <c r="F2" s="37"/>
      <c r="G2" s="37"/>
      <c r="H2" s="37"/>
      <c r="I2" s="37"/>
      <c r="J2" s="37"/>
      <c r="K2" s="37"/>
      <c r="L2" s="37"/>
      <c r="M2" s="37"/>
    </row>
    <row r="4" customFormat="false" ht="15" hidden="false" customHeight="true" outlineLevel="0" collapsed="false">
      <c r="A4" s="18" t="s">
        <v>346</v>
      </c>
      <c r="B4" s="18"/>
      <c r="C4" s="18"/>
      <c r="D4" s="18"/>
      <c r="E4" s="18"/>
      <c r="F4" s="18"/>
      <c r="G4" s="18"/>
    </row>
    <row r="5" customFormat="false" ht="21.75" hidden="false" customHeight="true" outlineLevel="0" collapsed="false">
      <c r="A5" s="38" t="s">
        <v>347</v>
      </c>
      <c r="B5" s="38" t="s">
        <v>348</v>
      </c>
      <c r="C5" s="38" t="s">
        <v>349</v>
      </c>
      <c r="D5" s="38" t="s">
        <v>350</v>
      </c>
      <c r="E5" s="38" t="s">
        <v>351</v>
      </c>
      <c r="F5" s="38" t="s">
        <v>352</v>
      </c>
      <c r="G5" s="38" t="s">
        <v>353</v>
      </c>
    </row>
    <row r="6" customFormat="false" ht="15" hidden="false" customHeight="false" outlineLevel="0" collapsed="false">
      <c r="A6" s="39" t="s">
        <v>354</v>
      </c>
      <c r="B6" s="40" t="n">
        <f aca="false">IF(C22&gt;C19,1,0)+IF(E22&gt;E19,1,0)+IF(G25&gt;G28,1,0)+IF(I28&gt;I25,1,0)+IF(K25&gt;K28,1,0)+IF(M25&gt;M28,1,0)</f>
        <v>0</v>
      </c>
      <c r="C6" s="40" t="n">
        <f aca="false">N(C22)+N(E22)+N(G25)+N(I28)+N(K25)+N(M25)</f>
        <v>0</v>
      </c>
      <c r="D6" s="40" t="n">
        <f aca="false">N(C19)+N(E19)+N(G28)+N(I25)+N(K28)+N(M28)</f>
        <v>0</v>
      </c>
      <c r="E6" s="40" t="n">
        <f aca="false">C6-D6</f>
        <v>0</v>
      </c>
      <c r="F6" s="40" t="n">
        <f aca="false">RANK(B6,$B$6:$B$13)+SUMPRODUCT(($B$6:$B$13=B6)*($E$6:$E$13&gt;E6))</f>
        <v>1</v>
      </c>
      <c r="G6" s="40" t="n">
        <f aca="false">IF(N(C22)+N(C19)&gt;0,1,0)+IF(N(E22)+N(E19)&gt;0,1,0)+IF(N(G25)+N(G28)&gt;0,1,0)+IF(N(I28)+N(I25)&gt;0,1,0)+IF(N(K25)+N(K28)&gt;0,1,0)+IF(N(M25)+N(M28)&gt;0,1,0)</f>
        <v>0</v>
      </c>
    </row>
    <row r="7" customFormat="false" ht="15" hidden="false" customHeight="false" outlineLevel="0" collapsed="false">
      <c r="A7" s="39" t="s">
        <v>355</v>
      </c>
      <c r="B7" s="40" t="n">
        <f aca="false">IF(E19&gt;E22,1,0)+IF(G22&gt;G19,1,0)+IF(I19&gt;I22,1,0)+IF(M22&gt;M19,1,0)+IF(C28&gt;C25,1,0)+IF(K25&gt;K28,1,0)</f>
        <v>0</v>
      </c>
      <c r="C7" s="40" t="n">
        <f aca="false">N(E19)+N(G22)+N(I19)+N(M22)+N(C28)+N(K25)</f>
        <v>0</v>
      </c>
      <c r="D7" s="40" t="n">
        <f aca="false">N(E22)+N(G19)+N(I22)+N(M19)+N(C25)+N(K28)</f>
        <v>0</v>
      </c>
      <c r="E7" s="40" t="n">
        <f aca="false">C7-D7</f>
        <v>0</v>
      </c>
      <c r="F7" s="40" t="n">
        <f aca="false">RANK(B7,$B$6:$B$13)+SUMPRODUCT(($B$6:$B$13=B7)*($E$6:$E$13&gt;E7))</f>
        <v>1</v>
      </c>
      <c r="G7" s="40" t="n">
        <f aca="false">IF(N(E19)+N(E22)&gt;0,1,0)+IF(N(G22)+N(G19)&gt;0,1,0)+IF(N(I19)+N(I22)&gt;0,1,0)+IF(N(M22)+N(M19)&gt;0,1,0)+IF(N(C28)+N(C25)&gt;0,1,0)+IF(N(K25)+N(K28)&gt;0,1,0)</f>
        <v>0</v>
      </c>
    </row>
    <row r="8" customFormat="false" ht="15" hidden="false" customHeight="false" outlineLevel="0" collapsed="false">
      <c r="A8" s="39" t="s">
        <v>356</v>
      </c>
      <c r="B8" s="40" t="n">
        <f aca="false">IF(I19&gt;I22,1,0)+IF(K19&gt;K22,1,0)+IF(C25&gt;C28,1,0)+IF(E28&gt;E25,1,0)+IF(G28&gt;G25,1,0)+IF(M25&gt;M28,1,0)</f>
        <v>0</v>
      </c>
      <c r="C8" s="40" t="n">
        <f aca="false">N(I19)+N(K19)+N(C25)+N(E28)+N(G28)+N(M25)</f>
        <v>0</v>
      </c>
      <c r="D8" s="40" t="n">
        <f aca="false">N(I22)+N(K22)+N(C28)+N(E25)+N(G25)+N(M28)</f>
        <v>0</v>
      </c>
      <c r="E8" s="40" t="n">
        <f aca="false">C8-D8</f>
        <v>0</v>
      </c>
      <c r="F8" s="40" t="n">
        <f aca="false">RANK(B8,$B$6:$B$13)+SUMPRODUCT(($B$6:$B$13=B8)*($E$6:$E$13&gt;E8))</f>
        <v>1</v>
      </c>
      <c r="G8" s="40" t="n">
        <f aca="false">IF(N(I19)+N(I22)&gt;0,1,0)+IF(N(K19)+N(K22)&gt;0,1,0)+IF(N(C25)+N(C28)&gt;0,1,0)+IF(N(E28)+N(E25)&gt;0,1,0)+IF(N(G28)+N(G25)&gt;0,1,0)+IF(N(M25)+N(M28)&gt;0,1,0)</f>
        <v>0</v>
      </c>
    </row>
    <row r="9" customFormat="false" ht="15" hidden="false" customHeight="false" outlineLevel="0" collapsed="false">
      <c r="A9" s="39" t="s">
        <v>357</v>
      </c>
      <c r="B9" s="40" t="n">
        <f aca="false">IF(G22&gt;G19,1,0)+IF(C25&gt;C28,1,0)+IF(E25&gt;E28,1,0)+IF(I25&gt;I28,1,0)+IF(K28&gt;K25,1,0)+IF(M28&gt;M25,1,0)</f>
        <v>0</v>
      </c>
      <c r="C9" s="40" t="n">
        <f aca="false">N(G22)+N(C25)+N(E25)+N(I25)+N(K28)+N(M28)</f>
        <v>0</v>
      </c>
      <c r="D9" s="40" t="n">
        <f aca="false">N(G19)+N(C28)+N(E28)+N(I28)+N(K25)+N(M25)</f>
        <v>0</v>
      </c>
      <c r="E9" s="40" t="n">
        <f aca="false">C9-D9</f>
        <v>0</v>
      </c>
      <c r="F9" s="40" t="n">
        <f aca="false">RANK(B9,$B$6:$B$13)+SUMPRODUCT(($B$6:$B$13=B9)*($E$6:$E$13&gt;E9))</f>
        <v>1</v>
      </c>
      <c r="G9" s="40" t="n">
        <f aca="false">IF(N(G22)+N(G19)&gt;0,1,0)+IF(N(C25)+N(C28)&gt;0,1,0)+IF(N(E25)+N(E28)&gt;0,1,0)+IF(N(I25)+N(I28)&gt;0,1,0)+IF(N(K28)+N(K25)&gt;0,1,0)+IF(N(M28)+N(M25)&gt;0,1,0)</f>
        <v>0</v>
      </c>
    </row>
    <row r="10" customFormat="false" ht="15" hidden="false" customHeight="false" outlineLevel="0" collapsed="false">
      <c r="A10" s="39" t="s">
        <v>373</v>
      </c>
      <c r="B10" s="40" t="n">
        <f aca="false">IF(E22&gt;E19,1,0)+IF(G19&gt;G22,1,0)+IF(K19&gt;K22,1,0)+IF(M19&gt;M22,1,0)+IF(C28&gt;C25,1,0)+IF(I25&gt;I28,1,0)</f>
        <v>0</v>
      </c>
      <c r="C10" s="40" t="n">
        <f aca="false">N(E22)+N(G19)+N(K19)+N(M19)+N(C28)+N(I25)</f>
        <v>0</v>
      </c>
      <c r="D10" s="40" t="n">
        <f aca="false">N(E19)+N(G22)+N(K22)+N(M22)+N(C25)+N(I28)</f>
        <v>0</v>
      </c>
      <c r="E10" s="40" t="n">
        <f aca="false">C10-D10</f>
        <v>0</v>
      </c>
      <c r="F10" s="40" t="n">
        <f aca="false">RANK(B10,$B$6:$B$13)+SUMPRODUCT(($B$6:$B$13=B10)*($E$6:$E$13&gt;E10))</f>
        <v>1</v>
      </c>
      <c r="G10" s="40" t="n">
        <f aca="false">IF(N(E22)+N(E19)&gt;0,1,0)+IF(N(G19)+N(G22)&gt;0,1,0)+IF(N(K19)+N(K22)&gt;0,1,0)+IF(N(M19)+N(M22)&gt;0,1,0)+IF(N(C28)+N(C25)&gt;0,1,0)+IF(N(I25)+N(I28)&gt;0,1,0)</f>
        <v>0</v>
      </c>
    </row>
    <row r="11" customFormat="false" ht="15" hidden="false" customHeight="false" outlineLevel="0" collapsed="false">
      <c r="A11" s="39" t="s">
        <v>377</v>
      </c>
      <c r="B11" s="40" t="n">
        <f aca="false">IF(C19&gt;C22,1,0)+IF(G19&gt;G22,1,0)+IF(K22&gt;K19,1,0)+IF(M22&gt;M19,1,0)+IF(E25&gt;E28,1,0)+IF(I28&gt;I25,1,0)</f>
        <v>0</v>
      </c>
      <c r="C11" s="40" t="n">
        <f aca="false">N(C19)+N(G19)+N(K22)+N(M22)+N(E25)+N(I28)</f>
        <v>0</v>
      </c>
      <c r="D11" s="40" t="n">
        <f aca="false">N(C22)+N(G22)+N(K19)+N(M19)+N(E28)+N(I25)</f>
        <v>0</v>
      </c>
      <c r="E11" s="40" t="n">
        <f aca="false">C11-D11</f>
        <v>0</v>
      </c>
      <c r="F11" s="40" t="n">
        <f aca="false">RANK(B11,$B$6:$B$13)+SUMPRODUCT(($B$6:$B$13=B11)*($E$6:$E$13&gt;E11))</f>
        <v>1</v>
      </c>
      <c r="G11" s="40" t="n">
        <f aca="false">IF(N(C19)+N(C22)&gt;0,1,0)+IF(N(G19)+N(G22)&gt;0,1,0)+IF(N(K22)+N(K19)&gt;0,1,0)+IF(N(M22)+N(M19)&gt;0,1,0)+IF(N(E25)+N(E28)&gt;0,1,0)+IF(N(I28)+N(I25)&gt;0,1,0)</f>
        <v>0</v>
      </c>
    </row>
    <row r="12" customFormat="false" ht="15" hidden="false" customHeight="false" outlineLevel="0" collapsed="false">
      <c r="A12" s="39" t="s">
        <v>380</v>
      </c>
      <c r="B12" s="40" t="n">
        <f aca="false">IF(C19&gt;C22,1,0)+IF(I22&gt;I19,1,0)+IF(M19&gt;M22,1,0)+IF(E28&gt;E25,1,0)+IF(G25&gt;G28,1,0)+IF(K28&gt;K25,1,0)</f>
        <v>0</v>
      </c>
      <c r="C12" s="40" t="n">
        <f aca="false">N(C19)+N(I22)+N(M19)+N(E28)+N(G25)+N(K28)</f>
        <v>0</v>
      </c>
      <c r="D12" s="40" t="n">
        <f aca="false">N(C22)+N(I19)+N(M22)+N(E25)+N(G28)+N(K25)</f>
        <v>0</v>
      </c>
      <c r="E12" s="40" t="n">
        <f aca="false">C12-D12</f>
        <v>0</v>
      </c>
      <c r="F12" s="40" t="n">
        <f aca="false">RANK(B12,$B$6:$B$13)+SUMPRODUCT(($B$6:$B$13=B12)*($E$6:$E$13&gt;E12))</f>
        <v>1</v>
      </c>
      <c r="G12" s="40" t="n">
        <f aca="false">IF(N(C19)+N(C22)&gt;0,1,0)+IF(N(I22)+N(I19)&gt;0,1,0)+IF(N(M19)+N(M22)&gt;0,1,0)+IF(N(E28)+N(E25)&gt;0,1,0)+IF(N(G25)+N(G28)&gt;0,1,0)+IF(N(K28)+N(K25)&gt;0,1,0)</f>
        <v>0</v>
      </c>
    </row>
    <row r="13" customFormat="false" ht="15" hidden="false" customHeight="false" outlineLevel="0" collapsed="false">
      <c r="A13" s="39" t="s">
        <v>384</v>
      </c>
      <c r="B13" s="40" t="n">
        <f aca="false">IF(C22&gt;C19,1,0)+IF(E19&gt;E22,1,0)+IF(I22&gt;I19,1,0)+IF(K22&gt;K19,1,0)+IF(G28&gt;G25,1,0)+IF(M28&gt;M25,1,0)</f>
        <v>0</v>
      </c>
      <c r="C13" s="40" t="n">
        <f aca="false">N(C22)+N(E19)+N(I22)+N(K22)+N(G28)+N(M28)</f>
        <v>0</v>
      </c>
      <c r="D13" s="40" t="n">
        <f aca="false">N(C19)+N(E22)+N(I19)+N(K19)+N(G25)+N(M25)</f>
        <v>0</v>
      </c>
      <c r="E13" s="40" t="n">
        <f aca="false">C13-D13</f>
        <v>0</v>
      </c>
      <c r="F13" s="40" t="n">
        <f aca="false">RANK(B13,$B$6:$B$13)+SUMPRODUCT(($B$6:$B$13=B13)*($E$6:$E$13&gt;E13))</f>
        <v>1</v>
      </c>
      <c r="G13" s="40" t="n">
        <f aca="false">IF(N(C22)+N(C19)&gt;0,1,0)+IF(N(E19)+N(E22)&gt;0,1,0)+IF(N(I22)+N(I19)&gt;0,1,0)+IF(N(K22)+N(K19)&gt;0,1,0)+IF(N(G28)+N(G25)&gt;0,1,0)+IF(N(M28)+N(M25)&gt;0,1,0)</f>
        <v>0</v>
      </c>
    </row>
    <row r="15" customFormat="false" ht="15" hidden="false" customHeight="true" outlineLevel="0" collapsed="false">
      <c r="A15" s="18" t="s">
        <v>358</v>
      </c>
      <c r="B15" s="18"/>
      <c r="C15" s="18"/>
      <c r="D15" s="18"/>
      <c r="E15" s="18"/>
      <c r="F15" s="18"/>
      <c r="G15" s="18"/>
      <c r="H15" s="18"/>
      <c r="I15" s="18"/>
      <c r="J15" s="18"/>
      <c r="K15" s="18"/>
      <c r="L15" s="18"/>
      <c r="M15" s="18"/>
    </row>
    <row r="16" customFormat="false" ht="21.75" hidden="false" customHeight="true" outlineLevel="0" collapsed="false">
      <c r="A16" s="38" t="s">
        <v>359</v>
      </c>
      <c r="B16" s="41" t="s">
        <v>360</v>
      </c>
      <c r="C16" s="41"/>
      <c r="D16" s="41" t="s">
        <v>361</v>
      </c>
      <c r="E16" s="41"/>
      <c r="F16" s="41" t="s">
        <v>362</v>
      </c>
      <c r="G16" s="41"/>
      <c r="H16" s="41" t="s">
        <v>363</v>
      </c>
      <c r="I16" s="41"/>
      <c r="J16" s="41" t="s">
        <v>364</v>
      </c>
      <c r="K16" s="41"/>
      <c r="L16" s="41" t="s">
        <v>365</v>
      </c>
      <c r="M16" s="41"/>
    </row>
    <row r="17" customFormat="false" ht="21.75" hidden="false" customHeight="true" outlineLevel="0" collapsed="false">
      <c r="A17" s="42" t="s">
        <v>366</v>
      </c>
    </row>
    <row r="18" customFormat="false" ht="21.75" hidden="false" customHeight="true" outlineLevel="0" collapsed="false">
      <c r="A18" s="43" t="s">
        <v>367</v>
      </c>
      <c r="B18" s="29" t="str">
        <f aca="false">A11</f>
        <v>Player 6</v>
      </c>
      <c r="C18" s="44"/>
      <c r="D18" s="29" t="str">
        <f aca="false">A7</f>
        <v>Player 2</v>
      </c>
      <c r="E18" s="44"/>
      <c r="F18" s="29" t="str">
        <f aca="false">A10</f>
        <v>Player 5</v>
      </c>
      <c r="G18" s="44"/>
      <c r="H18" s="29" t="str">
        <f aca="false">A8</f>
        <v>Player 3</v>
      </c>
      <c r="I18" s="44"/>
      <c r="J18" s="29" t="str">
        <f aca="false">A8</f>
        <v>Player 3</v>
      </c>
      <c r="K18" s="44"/>
      <c r="L18" s="29" t="str">
        <f aca="false">A10</f>
        <v>Player 5</v>
      </c>
      <c r="M18" s="44"/>
    </row>
    <row r="19" customFormat="false" ht="21.75" hidden="false" customHeight="true" outlineLevel="0" collapsed="false">
      <c r="A19" s="45"/>
      <c r="B19" s="29" t="str">
        <f aca="false">A12</f>
        <v>Player 7</v>
      </c>
      <c r="C19" s="46"/>
      <c r="D19" s="29" t="str">
        <f aca="false">A13</f>
        <v>Player 8</v>
      </c>
      <c r="E19" s="46"/>
      <c r="F19" s="29" t="str">
        <f aca="false">A11</f>
        <v>Player 6</v>
      </c>
      <c r="G19" s="46"/>
      <c r="H19" s="29" t="str">
        <f aca="false">A7</f>
        <v>Player 2</v>
      </c>
      <c r="I19" s="46"/>
      <c r="J19" s="29" t="str">
        <f aca="false">A10</f>
        <v>Player 5</v>
      </c>
      <c r="K19" s="46"/>
      <c r="L19" s="29" t="str">
        <f aca="false">A12</f>
        <v>Player 7</v>
      </c>
      <c r="M19" s="46"/>
    </row>
    <row r="20" customFormat="false" ht="18" hidden="false" customHeight="true" outlineLevel="0" collapsed="false">
      <c r="A20" s="47" t="s">
        <v>368</v>
      </c>
      <c r="B20" s="47" t="s">
        <v>369</v>
      </c>
      <c r="C20" s="44"/>
      <c r="D20" s="47" t="s">
        <v>369</v>
      </c>
      <c r="E20" s="44"/>
      <c r="F20" s="47" t="s">
        <v>369</v>
      </c>
      <c r="G20" s="44"/>
      <c r="H20" s="47" t="s">
        <v>369</v>
      </c>
      <c r="I20" s="44"/>
      <c r="J20" s="47" t="s">
        <v>369</v>
      </c>
      <c r="K20" s="44"/>
      <c r="L20" s="47" t="s">
        <v>369</v>
      </c>
      <c r="M20" s="44"/>
    </row>
    <row r="21" customFormat="false" ht="21.75" hidden="false" customHeight="true" outlineLevel="0" collapsed="false">
      <c r="A21" s="43" t="s">
        <v>370</v>
      </c>
      <c r="B21" s="29" t="str">
        <f aca="false">A6</f>
        <v>Player 1</v>
      </c>
      <c r="C21" s="44"/>
      <c r="D21" s="29" t="str">
        <f aca="false">A10</f>
        <v>Player 5</v>
      </c>
      <c r="E21" s="44"/>
      <c r="F21" s="29" t="str">
        <f aca="false">A9</f>
        <v>Player 4</v>
      </c>
      <c r="G21" s="44"/>
      <c r="H21" s="29" t="str">
        <f aca="false">A13</f>
        <v>Player 8</v>
      </c>
      <c r="I21" s="44"/>
      <c r="J21" s="29" t="str">
        <f aca="false">A13</f>
        <v>Player 8</v>
      </c>
      <c r="K21" s="44"/>
      <c r="L21" s="29" t="str">
        <f aca="false">A7</f>
        <v>Player 2</v>
      </c>
      <c r="M21" s="44"/>
    </row>
    <row r="22" customFormat="false" ht="21.75" hidden="false" customHeight="true" outlineLevel="0" collapsed="false">
      <c r="A22" s="45"/>
      <c r="B22" s="29" t="str">
        <f aca="false">A13</f>
        <v>Player 8</v>
      </c>
      <c r="C22" s="46"/>
      <c r="D22" s="29" t="str">
        <f aca="false">A6</f>
        <v>Player 1</v>
      </c>
      <c r="E22" s="46"/>
      <c r="F22" s="29" t="str">
        <f aca="false">A7</f>
        <v>Player 2</v>
      </c>
      <c r="G22" s="46"/>
      <c r="H22" s="29" t="str">
        <f aca="false">A12</f>
        <v>Player 7</v>
      </c>
      <c r="I22" s="46"/>
      <c r="J22" s="29" t="str">
        <f aca="false">A11</f>
        <v>Player 6</v>
      </c>
      <c r="K22" s="46"/>
      <c r="L22" s="29" t="str">
        <f aca="false">A11</f>
        <v>Player 6</v>
      </c>
      <c r="M22" s="46"/>
    </row>
    <row r="23" customFormat="false" ht="21.75" hidden="false" customHeight="true" outlineLevel="0" collapsed="false">
      <c r="A23" s="42" t="s">
        <v>385</v>
      </c>
    </row>
    <row r="24" customFormat="false" ht="21.75" hidden="false" customHeight="true" outlineLevel="0" collapsed="false">
      <c r="A24" s="43" t="s">
        <v>367</v>
      </c>
      <c r="B24" s="29" t="str">
        <f aca="false">A8</f>
        <v>Player 3</v>
      </c>
      <c r="C24" s="44"/>
      <c r="D24" s="29" t="str">
        <f aca="false">A11</f>
        <v>Player 6</v>
      </c>
      <c r="E24" s="44"/>
      <c r="F24" s="29" t="str">
        <f aca="false">A6</f>
        <v>Player 1</v>
      </c>
      <c r="G24" s="44"/>
      <c r="H24" s="29" t="str">
        <f aca="false">A9</f>
        <v>Player 4</v>
      </c>
      <c r="I24" s="44"/>
      <c r="J24" s="29" t="str">
        <f aca="false">A7</f>
        <v>Player 2</v>
      </c>
      <c r="K24" s="44"/>
      <c r="L24" s="29" t="str">
        <f aca="false">A8</f>
        <v>Player 3</v>
      </c>
      <c r="M24" s="44"/>
    </row>
    <row r="25" customFormat="false" ht="21.75" hidden="false" customHeight="true" outlineLevel="0" collapsed="false">
      <c r="A25" s="45"/>
      <c r="B25" s="29" t="str">
        <f aca="false">A9</f>
        <v>Player 4</v>
      </c>
      <c r="C25" s="46"/>
      <c r="D25" s="29" t="str">
        <f aca="false">A9</f>
        <v>Player 4</v>
      </c>
      <c r="E25" s="46"/>
      <c r="F25" s="29" t="str">
        <f aca="false">A12</f>
        <v>Player 7</v>
      </c>
      <c r="G25" s="46"/>
      <c r="H25" s="29" t="str">
        <f aca="false">A10</f>
        <v>Player 5</v>
      </c>
      <c r="I25" s="46"/>
      <c r="J25" s="29" t="str">
        <f aca="false">A6</f>
        <v>Player 1</v>
      </c>
      <c r="K25" s="46"/>
      <c r="L25" s="29" t="str">
        <f aca="false">A6</f>
        <v>Player 1</v>
      </c>
      <c r="M25" s="46"/>
    </row>
    <row r="26" customFormat="false" ht="18" hidden="false" customHeight="true" outlineLevel="0" collapsed="false">
      <c r="A26" s="47" t="s">
        <v>368</v>
      </c>
      <c r="B26" s="47" t="s">
        <v>369</v>
      </c>
      <c r="C26" s="44"/>
      <c r="D26" s="47" t="s">
        <v>369</v>
      </c>
      <c r="E26" s="44"/>
      <c r="F26" s="47" t="s">
        <v>369</v>
      </c>
      <c r="G26" s="44"/>
      <c r="H26" s="47" t="s">
        <v>369</v>
      </c>
      <c r="I26" s="44"/>
      <c r="J26" s="47" t="s">
        <v>369</v>
      </c>
      <c r="K26" s="44"/>
      <c r="L26" s="47" t="s">
        <v>369</v>
      </c>
      <c r="M26" s="44"/>
    </row>
    <row r="27" customFormat="false" ht="21.75" hidden="false" customHeight="true" outlineLevel="0" collapsed="false">
      <c r="A27" s="43" t="s">
        <v>370</v>
      </c>
      <c r="B27" s="29" t="str">
        <f aca="false">A10</f>
        <v>Player 5</v>
      </c>
      <c r="C27" s="44"/>
      <c r="D27" s="29" t="str">
        <f aca="false">A8</f>
        <v>Player 3</v>
      </c>
      <c r="E27" s="44"/>
      <c r="F27" s="29" t="str">
        <f aca="false">A13</f>
        <v>Player 8</v>
      </c>
      <c r="G27" s="44"/>
      <c r="H27" s="29" t="str">
        <f aca="false">A6</f>
        <v>Player 1</v>
      </c>
      <c r="I27" s="44"/>
      <c r="J27" s="29" t="str">
        <f aca="false">A12</f>
        <v>Player 7</v>
      </c>
      <c r="K27" s="44"/>
      <c r="L27" s="29" t="str">
        <f aca="false">A9</f>
        <v>Player 4</v>
      </c>
      <c r="M27" s="44"/>
    </row>
    <row r="28" customFormat="false" ht="21.75" hidden="false" customHeight="true" outlineLevel="0" collapsed="false">
      <c r="A28" s="45"/>
      <c r="B28" s="29" t="str">
        <f aca="false">A7</f>
        <v>Player 2</v>
      </c>
      <c r="C28" s="46"/>
      <c r="D28" s="29" t="str">
        <f aca="false">A12</f>
        <v>Player 7</v>
      </c>
      <c r="E28" s="46"/>
      <c r="F28" s="29" t="str">
        <f aca="false">A8</f>
        <v>Player 3</v>
      </c>
      <c r="G28" s="46"/>
      <c r="H28" s="29" t="str">
        <f aca="false">A11</f>
        <v>Player 6</v>
      </c>
      <c r="I28" s="46"/>
      <c r="J28" s="29" t="str">
        <f aca="false">A9</f>
        <v>Player 4</v>
      </c>
      <c r="K28" s="46"/>
      <c r="L28" s="29" t="str">
        <f aca="false">A13</f>
        <v>Player 8</v>
      </c>
      <c r="M28" s="46"/>
    </row>
  </sheetData>
  <mergeCells count="10">
    <mergeCell ref="A1:M1"/>
    <mergeCell ref="A2:M2"/>
    <mergeCell ref="A4:G4"/>
    <mergeCell ref="A15:M15"/>
    <mergeCell ref="B16:C16"/>
    <mergeCell ref="D16:E16"/>
    <mergeCell ref="F16:G16"/>
    <mergeCell ref="H16:I16"/>
    <mergeCell ref="J16:K16"/>
    <mergeCell ref="L16:M1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3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5" topLeftCell="A1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12"/>
    <col collapsed="false" customWidth="true" hidden="false" outlineLevel="0" max="3" min="3" style="0" width="7"/>
    <col collapsed="false" customWidth="true" hidden="false" outlineLevel="0" max="4" min="4" style="0" width="12"/>
    <col collapsed="false" customWidth="true" hidden="false" outlineLevel="0" max="5" min="5" style="0" width="7"/>
    <col collapsed="false" customWidth="true" hidden="false" outlineLevel="0" max="6" min="6" style="0" width="12"/>
    <col collapsed="false" customWidth="true" hidden="false" outlineLevel="0" max="7" min="7" style="0" width="7"/>
    <col collapsed="false" customWidth="true" hidden="false" outlineLevel="0" max="8" min="8" style="0" width="12"/>
    <col collapsed="false" customWidth="true" hidden="false" outlineLevel="0" max="9" min="9" style="0" width="7"/>
    <col collapsed="false" customWidth="true" hidden="false" outlineLevel="0" max="10" min="10" style="0" width="12"/>
    <col collapsed="false" customWidth="true" hidden="false" outlineLevel="0" max="11" min="11" style="0" width="7"/>
    <col collapsed="false" customWidth="true" hidden="false" outlineLevel="0" max="12" min="12" style="0" width="12"/>
    <col collapsed="false" customWidth="true" hidden="false" outlineLevel="0" max="13" min="13" style="0" width="7"/>
  </cols>
  <sheetData>
    <row r="1" customFormat="false" ht="22.05" hidden="false" customHeight="false" outlineLevel="0" collapsed="false">
      <c r="A1" s="36" t="s">
        <v>386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</row>
    <row r="2" customFormat="false" ht="15" hidden="false" customHeight="false" outlineLevel="0" collapsed="false">
      <c r="A2" s="37" t="s">
        <v>387</v>
      </c>
      <c r="B2" s="37"/>
      <c r="C2" s="37"/>
      <c r="D2" s="37"/>
      <c r="E2" s="37"/>
      <c r="F2" s="37"/>
      <c r="G2" s="37"/>
      <c r="H2" s="37"/>
      <c r="I2" s="37"/>
      <c r="J2" s="37"/>
      <c r="K2" s="37"/>
      <c r="L2" s="37"/>
      <c r="M2" s="37"/>
    </row>
    <row r="4" customFormat="false" ht="15" hidden="false" customHeight="true" outlineLevel="0" collapsed="false">
      <c r="A4" s="18" t="s">
        <v>346</v>
      </c>
      <c r="B4" s="18"/>
      <c r="C4" s="18"/>
      <c r="D4" s="18"/>
      <c r="E4" s="18"/>
      <c r="F4" s="18"/>
      <c r="G4" s="18"/>
    </row>
    <row r="5" customFormat="false" ht="21.75" hidden="false" customHeight="true" outlineLevel="0" collapsed="false">
      <c r="A5" s="38" t="s">
        <v>347</v>
      </c>
      <c r="B5" s="38" t="s">
        <v>348</v>
      </c>
      <c r="C5" s="38" t="s">
        <v>349</v>
      </c>
      <c r="D5" s="38" t="s">
        <v>350</v>
      </c>
      <c r="E5" s="38" t="s">
        <v>351</v>
      </c>
      <c r="F5" s="38" t="s">
        <v>352</v>
      </c>
      <c r="G5" s="38" t="s">
        <v>353</v>
      </c>
    </row>
    <row r="6" customFormat="false" ht="15" hidden="false" customHeight="false" outlineLevel="0" collapsed="false">
      <c r="A6" s="39" t="s">
        <v>354</v>
      </c>
      <c r="B6" s="40" t="n">
        <f aca="false">IF(C23&gt;C20,1,0)+IF(G20&gt;G23,1,0)+IF(K20&gt;K23,1,0)+IF(M20&gt;M23,1,0)+IF(E26&gt;E29,1,0)+IF(I29&gt;I26,1,0)</f>
        <v>0</v>
      </c>
      <c r="C6" s="40" t="n">
        <f aca="false">N(C23)+N(G20)+N(K20)+N(M20)+N(E26)+N(I29)</f>
        <v>0</v>
      </c>
      <c r="D6" s="40" t="n">
        <f aca="false">N(C20)+N(G23)+N(K23)+N(M23)+N(E29)+N(I26)</f>
        <v>0</v>
      </c>
      <c r="E6" s="40" t="n">
        <f aca="false">C6-D6</f>
        <v>0</v>
      </c>
      <c r="F6" s="40" t="n">
        <f aca="false">RANK(B6,$B$6:$B$14)+SUMPRODUCT(($B$6:$B$14=B6)*($E$6:$E$14&gt;E6))</f>
        <v>1</v>
      </c>
      <c r="G6" s="40" t="n">
        <f aca="false">IF(N(C23)+N(C20)&gt;0,1,0)+IF(N(G20)+N(G23)&gt;0,1,0)+IF(N(K20)+N(K23)&gt;0,1,0)+IF(N(M20)+N(M23)&gt;0,1,0)+IF(N(E26)+N(E29)&gt;0,1,0)+IF(N(I29)+N(I26)&gt;0,1,0)</f>
        <v>0</v>
      </c>
    </row>
    <row r="7" customFormat="false" ht="15" hidden="false" customHeight="false" outlineLevel="0" collapsed="false">
      <c r="A7" s="39" t="s">
        <v>355</v>
      </c>
      <c r="B7" s="40" t="n">
        <f aca="false">IF(C23&gt;C20,1,0)+IF(E20&gt;E23,1,0)+IF(G23&gt;G20,1,0)+IF(I26&gt;I29,1,0)+IF(K26&gt;K29,1,0)+IF(M26&gt;M29,1,0)</f>
        <v>0</v>
      </c>
      <c r="C7" s="40" t="n">
        <f aca="false">N(C23)+N(E20)+N(G23)+N(I26)+N(K26)+N(M26)</f>
        <v>0</v>
      </c>
      <c r="D7" s="40" t="n">
        <f aca="false">N(C20)+N(E23)+N(G20)+N(I29)+N(K29)+N(M29)</f>
        <v>0</v>
      </c>
      <c r="E7" s="40" t="n">
        <f aca="false">C7-D7</f>
        <v>0</v>
      </c>
      <c r="F7" s="40" t="n">
        <f aca="false">RANK(B7,$B$6:$B$14)+SUMPRODUCT(($B$6:$B$14=B7)*($E$6:$E$14&gt;E7))</f>
        <v>1</v>
      </c>
      <c r="G7" s="40" t="n">
        <f aca="false">IF(N(C23)+N(C20)&gt;0,1,0)+IF(N(E20)+N(E23)&gt;0,1,0)+IF(N(G23)+N(G20)&gt;0,1,0)+IF(N(I26)+N(I29)&gt;0,1,0)+IF(N(K26)+N(K29)&gt;0,1,0)+IF(N(M26)+N(M29)&gt;0,1,0)</f>
        <v>0</v>
      </c>
    </row>
    <row r="8" customFormat="false" ht="15" hidden="false" customHeight="false" outlineLevel="0" collapsed="false">
      <c r="A8" s="39" t="s">
        <v>356</v>
      </c>
      <c r="B8" s="40" t="n">
        <f aca="false">IF(E23&gt;E20,1,0)+IF(G23&gt;G20,1,0)+IF(I20&gt;I23,1,0)+IF(K20&gt;K23,1,0)+IF(C26&gt;C29,1,0)+IF(M29&gt;M26,1,0)</f>
        <v>0</v>
      </c>
      <c r="C8" s="40" t="n">
        <f aca="false">N(E23)+N(G23)+N(I20)+N(K20)+N(C26)+N(M29)</f>
        <v>0</v>
      </c>
      <c r="D8" s="40" t="n">
        <f aca="false">N(E20)+N(G20)+N(I23)+N(K23)+N(C29)+N(M26)</f>
        <v>0</v>
      </c>
      <c r="E8" s="40" t="n">
        <f aca="false">C8-D8</f>
        <v>0</v>
      </c>
      <c r="F8" s="40" t="n">
        <f aca="false">RANK(B8,$B$6:$B$14)+SUMPRODUCT(($B$6:$B$14=B8)*($E$6:$E$14&gt;E8))</f>
        <v>1</v>
      </c>
      <c r="G8" s="40" t="n">
        <f aca="false">IF(N(E23)+N(E20)&gt;0,1,0)+IF(N(G23)+N(G20)&gt;0,1,0)+IF(N(I20)+N(I23)&gt;0,1,0)+IF(N(K20)+N(K23)&gt;0,1,0)+IF(N(C26)+N(C29)&gt;0,1,0)+IF(N(M29)+N(M26)&gt;0,1,0)</f>
        <v>0</v>
      </c>
    </row>
    <row r="9" customFormat="false" ht="15" hidden="false" customHeight="false" outlineLevel="0" collapsed="false">
      <c r="A9" s="39" t="s">
        <v>357</v>
      </c>
      <c r="B9" s="40" t="n">
        <f aca="false">IF(G20&gt;G23,1,0)+IF(C26&gt;C29,1,0)+IF(E29&gt;E26,1,0)+IF(I26&gt;I29,1,0)+IF(K29&gt;K26,1,0)</f>
        <v>0</v>
      </c>
      <c r="C9" s="40" t="n">
        <f aca="false">N(G20)+N(C26)+N(E29)+N(I26)+N(K29)</f>
        <v>0</v>
      </c>
      <c r="D9" s="40" t="n">
        <f aca="false">N(G23)+N(C29)+N(E26)+N(I29)+N(K26)</f>
        <v>0</v>
      </c>
      <c r="E9" s="40" t="n">
        <f aca="false">C9-D9</f>
        <v>0</v>
      </c>
      <c r="F9" s="40" t="n">
        <f aca="false">RANK(B9,$B$6:$B$14)+SUMPRODUCT(($B$6:$B$14=B9)*($E$6:$E$14&gt;E9))</f>
        <v>1</v>
      </c>
      <c r="G9" s="40" t="n">
        <f aca="false">IF(N(G20)+N(G23)&gt;0,1,0)+IF(N(C26)+N(C29)&gt;0,1,0)+IF(N(E29)+N(E26)&gt;0,1,0)+IF(N(I26)+N(I29)&gt;0,1,0)+IF(N(K29)+N(K26)&gt;0,1,0)</f>
        <v>0</v>
      </c>
    </row>
    <row r="10" customFormat="false" ht="15" hidden="false" customHeight="false" outlineLevel="0" collapsed="false">
      <c r="A10" s="39" t="s">
        <v>373</v>
      </c>
      <c r="B10" s="40" t="n">
        <f aca="false">IF(C20&gt;C23,1,0)+IF(I23&gt;I20,1,0)+IF(E26&gt;E29,1,0)+IF(G26&gt;G29,1,0)+IF(M26&gt;M29,1,0)</f>
        <v>0</v>
      </c>
      <c r="C10" s="40" t="n">
        <f aca="false">N(C20)+N(I23)+N(E26)+N(G26)+N(M26)</f>
        <v>0</v>
      </c>
      <c r="D10" s="40" t="n">
        <f aca="false">N(C23)+N(I20)+N(E29)+N(G29)+N(M29)</f>
        <v>0</v>
      </c>
      <c r="E10" s="40" t="n">
        <f aca="false">C10-D10</f>
        <v>0</v>
      </c>
      <c r="F10" s="40" t="n">
        <f aca="false">RANK(B10,$B$6:$B$14)+SUMPRODUCT(($B$6:$B$14=B10)*($E$6:$E$14&gt;E10))</f>
        <v>1</v>
      </c>
      <c r="G10" s="40" t="n">
        <f aca="false">IF(N(C20)+N(C23)&gt;0,1,0)+IF(N(I23)+N(I20)&gt;0,1,0)+IF(N(E26)+N(E29)&gt;0,1,0)+IF(N(G26)+N(G29)&gt;0,1,0)+IF(N(M26)+N(M29)&gt;0,1,0)</f>
        <v>0</v>
      </c>
    </row>
    <row r="11" customFormat="false" ht="15" hidden="false" customHeight="false" outlineLevel="0" collapsed="false">
      <c r="A11" s="39" t="s">
        <v>377</v>
      </c>
      <c r="B11" s="40" t="n">
        <f aca="false">IF(C29&gt;C26,1,0)+IF(E29&gt;E26,1,0)+IF(G26&gt;G29,1,0)+IF(K26&gt;K29,1,0)+IF(M29&gt;M26,1,0)</f>
        <v>0</v>
      </c>
      <c r="C11" s="40" t="n">
        <f aca="false">N(C29)+N(E29)+N(G26)+N(K26)+N(M29)</f>
        <v>0</v>
      </c>
      <c r="D11" s="40" t="n">
        <f aca="false">N(C26)+N(E26)+N(G29)+N(K29)+N(M26)</f>
        <v>0</v>
      </c>
      <c r="E11" s="40" t="n">
        <f aca="false">C11-D11</f>
        <v>0</v>
      </c>
      <c r="F11" s="40" t="n">
        <f aca="false">RANK(B11,$B$6:$B$14)+SUMPRODUCT(($B$6:$B$14=B11)*($E$6:$E$14&gt;E11))</f>
        <v>1</v>
      </c>
      <c r="G11" s="40" t="n">
        <f aca="false">IF(N(C29)+N(C26)&gt;0,1,0)+IF(N(E29)+N(E26)&gt;0,1,0)+IF(N(G26)+N(G29)&gt;0,1,0)+IF(N(K26)+N(K29)&gt;0,1,0)+IF(N(M29)+N(M26)&gt;0,1,0)</f>
        <v>0</v>
      </c>
    </row>
    <row r="12" customFormat="false" ht="15" hidden="false" customHeight="false" outlineLevel="0" collapsed="false">
      <c r="A12" s="39" t="s">
        <v>380</v>
      </c>
      <c r="B12" s="40" t="n">
        <f aca="false">IF(E23&gt;E20,1,0)+IF(K23&gt;K20,1,0)+IF(M23&gt;M20,1,0)+IF(C29&gt;C26,1,0)+IF(I29&gt;I26,1,0)</f>
        <v>0</v>
      </c>
      <c r="C12" s="40" t="n">
        <f aca="false">N(E23)+N(K23)+N(M23)+N(C29)+N(I29)</f>
        <v>0</v>
      </c>
      <c r="D12" s="40" t="n">
        <f aca="false">N(E20)+N(K20)+N(M20)+N(C26)+N(I26)</f>
        <v>0</v>
      </c>
      <c r="E12" s="40" t="n">
        <f aca="false">C12-D12</f>
        <v>0</v>
      </c>
      <c r="F12" s="40" t="n">
        <f aca="false">RANK(B12,$B$6:$B$14)+SUMPRODUCT(($B$6:$B$14=B12)*($E$6:$E$14&gt;E12))</f>
        <v>1</v>
      </c>
      <c r="G12" s="40" t="n">
        <f aca="false">IF(N(E23)+N(E20)&gt;0,1,0)+IF(N(K23)+N(K20)&gt;0,1,0)+IF(N(M23)+N(M20)&gt;0,1,0)+IF(N(C29)+N(C26)&gt;0,1,0)+IF(N(I29)+N(I26)&gt;0,1,0)</f>
        <v>0</v>
      </c>
    </row>
    <row r="13" customFormat="false" ht="15" hidden="false" customHeight="false" outlineLevel="0" collapsed="false">
      <c r="A13" s="39" t="s">
        <v>384</v>
      </c>
      <c r="B13" s="40" t="n">
        <f aca="false">IF(C20&gt;C23,1,0)+IF(I20&gt;I23,1,0)+IF(K23&gt;K20,1,0)+IF(M20&gt;M23,1,0)+IF(G29&gt;G26,1,0)</f>
        <v>0</v>
      </c>
      <c r="C13" s="40" t="n">
        <f aca="false">N(C20)+N(I20)+N(K23)+N(M20)+N(G29)</f>
        <v>0</v>
      </c>
      <c r="D13" s="40" t="n">
        <f aca="false">N(C23)+N(I23)+N(K20)+N(M23)+N(G26)</f>
        <v>0</v>
      </c>
      <c r="E13" s="40" t="n">
        <f aca="false">C13-D13</f>
        <v>0</v>
      </c>
      <c r="F13" s="40" t="n">
        <f aca="false">RANK(B13,$B$6:$B$14)+SUMPRODUCT(($B$6:$B$14=B13)*($E$6:$E$14&gt;E13))</f>
        <v>1</v>
      </c>
      <c r="G13" s="40" t="n">
        <f aca="false">IF(N(C20)+N(C23)&gt;0,1,0)+IF(N(I20)+N(I23)&gt;0,1,0)+IF(N(K23)+N(K20)&gt;0,1,0)+IF(N(M20)+N(M23)&gt;0,1,0)+IF(N(G29)+N(G26)&gt;0,1,0)</f>
        <v>0</v>
      </c>
    </row>
    <row r="14" customFormat="false" ht="15" hidden="false" customHeight="false" outlineLevel="0" collapsed="false">
      <c r="A14" s="39" t="s">
        <v>388</v>
      </c>
      <c r="B14" s="40" t="n">
        <f aca="false">IF(E20&gt;E23,1,0)+IF(I23&gt;I20,1,0)+IF(M23&gt;M20,1,0)+IF(G29&gt;G26,1,0)+IF(K29&gt;K26,1,0)</f>
        <v>0</v>
      </c>
      <c r="C14" s="40" t="n">
        <f aca="false">N(E20)+N(I23)+N(M23)+N(G29)+N(K29)</f>
        <v>0</v>
      </c>
      <c r="D14" s="40" t="n">
        <f aca="false">N(E23)+N(I20)+N(M20)+N(G26)+N(K26)</f>
        <v>0</v>
      </c>
      <c r="E14" s="40" t="n">
        <f aca="false">C14-D14</f>
        <v>0</v>
      </c>
      <c r="F14" s="40" t="n">
        <f aca="false">RANK(B14,$B$6:$B$14)+SUMPRODUCT(($B$6:$B$14=B14)*($E$6:$E$14&gt;E14))</f>
        <v>1</v>
      </c>
      <c r="G14" s="40" t="n">
        <f aca="false">IF(N(E20)+N(E23)&gt;0,1,0)+IF(N(I23)+N(I20)&gt;0,1,0)+IF(N(M23)+N(M20)&gt;0,1,0)+IF(N(G29)+N(G26)&gt;0,1,0)+IF(N(K29)+N(K26)&gt;0,1,0)</f>
        <v>0</v>
      </c>
    </row>
    <row r="16" customFormat="false" ht="15" hidden="false" customHeight="true" outlineLevel="0" collapsed="false">
      <c r="A16" s="18" t="s">
        <v>358</v>
      </c>
      <c r="B16" s="18"/>
      <c r="C16" s="18"/>
      <c r="D16" s="18"/>
      <c r="E16" s="18"/>
      <c r="F16" s="18"/>
      <c r="G16" s="18"/>
      <c r="H16" s="18"/>
      <c r="I16" s="18"/>
      <c r="J16" s="18"/>
      <c r="K16" s="18"/>
      <c r="L16" s="18"/>
      <c r="M16" s="18"/>
    </row>
    <row r="17" customFormat="false" ht="21.75" hidden="false" customHeight="true" outlineLevel="0" collapsed="false">
      <c r="A17" s="38" t="s">
        <v>359</v>
      </c>
      <c r="B17" s="41" t="s">
        <v>360</v>
      </c>
      <c r="C17" s="41"/>
      <c r="D17" s="41" t="s">
        <v>361</v>
      </c>
      <c r="E17" s="41"/>
      <c r="F17" s="41" t="s">
        <v>362</v>
      </c>
      <c r="G17" s="41"/>
      <c r="H17" s="41" t="s">
        <v>363</v>
      </c>
      <c r="I17" s="41"/>
      <c r="J17" s="41" t="s">
        <v>364</v>
      </c>
      <c r="K17" s="41"/>
      <c r="L17" s="41" t="s">
        <v>365</v>
      </c>
      <c r="M17" s="41"/>
    </row>
    <row r="18" customFormat="false" ht="21.75" hidden="false" customHeight="true" outlineLevel="0" collapsed="false">
      <c r="A18" s="42" t="s">
        <v>366</v>
      </c>
    </row>
    <row r="19" customFormat="false" ht="21.75" hidden="false" customHeight="true" outlineLevel="0" collapsed="false">
      <c r="A19" s="43" t="s">
        <v>367</v>
      </c>
      <c r="B19" s="29" t="str">
        <f aca="false">A13</f>
        <v>Player 8</v>
      </c>
      <c r="C19" s="44"/>
      <c r="D19" s="29" t="str">
        <f aca="false">A7</f>
        <v>Player 2</v>
      </c>
      <c r="E19" s="44"/>
      <c r="F19" s="29" t="str">
        <f aca="false">A9</f>
        <v>Player 4</v>
      </c>
      <c r="G19" s="44"/>
      <c r="H19" s="29" t="str">
        <f aca="false">A8</f>
        <v>Player 3</v>
      </c>
      <c r="I19" s="44"/>
      <c r="J19" s="29" t="str">
        <f aca="false">A8</f>
        <v>Player 3</v>
      </c>
      <c r="K19" s="44"/>
      <c r="L19" s="29" t="str">
        <f aca="false">A13</f>
        <v>Player 8</v>
      </c>
      <c r="M19" s="44"/>
    </row>
    <row r="20" customFormat="false" ht="21.75" hidden="false" customHeight="true" outlineLevel="0" collapsed="false">
      <c r="A20" s="45"/>
      <c r="B20" s="29" t="str">
        <f aca="false">A10</f>
        <v>Player 5</v>
      </c>
      <c r="C20" s="46"/>
      <c r="D20" s="29" t="str">
        <f aca="false">A14</f>
        <v>Player 9</v>
      </c>
      <c r="E20" s="46"/>
      <c r="F20" s="29" t="str">
        <f aca="false">A6</f>
        <v>Player 1</v>
      </c>
      <c r="G20" s="46"/>
      <c r="H20" s="29" t="str">
        <f aca="false">A13</f>
        <v>Player 8</v>
      </c>
      <c r="I20" s="46"/>
      <c r="J20" s="29" t="str">
        <f aca="false">A6</f>
        <v>Player 1</v>
      </c>
      <c r="K20" s="46"/>
      <c r="L20" s="29" t="str">
        <f aca="false">A6</f>
        <v>Player 1</v>
      </c>
      <c r="M20" s="46"/>
    </row>
    <row r="21" customFormat="false" ht="18" hidden="false" customHeight="true" outlineLevel="0" collapsed="false">
      <c r="A21" s="47" t="s">
        <v>368</v>
      </c>
      <c r="B21" s="47" t="s">
        <v>369</v>
      </c>
      <c r="C21" s="44"/>
      <c r="D21" s="47" t="s">
        <v>369</v>
      </c>
      <c r="E21" s="44"/>
      <c r="F21" s="47" t="s">
        <v>369</v>
      </c>
      <c r="G21" s="44"/>
      <c r="H21" s="47" t="s">
        <v>369</v>
      </c>
      <c r="I21" s="44"/>
      <c r="J21" s="47" t="s">
        <v>369</v>
      </c>
      <c r="K21" s="44"/>
      <c r="L21" s="47" t="s">
        <v>369</v>
      </c>
      <c r="M21" s="44"/>
    </row>
    <row r="22" customFormat="false" ht="21.75" hidden="false" customHeight="true" outlineLevel="0" collapsed="false">
      <c r="A22" s="43" t="s">
        <v>370</v>
      </c>
      <c r="B22" s="29" t="str">
        <f aca="false">A6</f>
        <v>Player 1</v>
      </c>
      <c r="C22" s="44"/>
      <c r="D22" s="29" t="str">
        <f aca="false">A8</f>
        <v>Player 3</v>
      </c>
      <c r="E22" s="44"/>
      <c r="F22" s="29" t="str">
        <f aca="false">A8</f>
        <v>Player 3</v>
      </c>
      <c r="G22" s="44"/>
      <c r="H22" s="29" t="str">
        <f aca="false">A10</f>
        <v>Player 5</v>
      </c>
      <c r="I22" s="44"/>
      <c r="J22" s="29" t="str">
        <f aca="false">A13</f>
        <v>Player 8</v>
      </c>
      <c r="K22" s="44"/>
      <c r="L22" s="29" t="str">
        <f aca="false">A14</f>
        <v>Player 9</v>
      </c>
      <c r="M22" s="44"/>
    </row>
    <row r="23" customFormat="false" ht="21.75" hidden="false" customHeight="true" outlineLevel="0" collapsed="false">
      <c r="A23" s="45"/>
      <c r="B23" s="29" t="str">
        <f aca="false">A7</f>
        <v>Player 2</v>
      </c>
      <c r="C23" s="46"/>
      <c r="D23" s="29" t="str">
        <f aca="false">A12</f>
        <v>Player 7</v>
      </c>
      <c r="E23" s="46"/>
      <c r="F23" s="29" t="str">
        <f aca="false">A7</f>
        <v>Player 2</v>
      </c>
      <c r="G23" s="46"/>
      <c r="H23" s="29" t="str">
        <f aca="false">A14</f>
        <v>Player 9</v>
      </c>
      <c r="I23" s="46"/>
      <c r="J23" s="29" t="str">
        <f aca="false">A12</f>
        <v>Player 7</v>
      </c>
      <c r="K23" s="46"/>
      <c r="L23" s="29" t="str">
        <f aca="false">A12</f>
        <v>Player 7</v>
      </c>
      <c r="M23" s="46"/>
    </row>
    <row r="24" customFormat="false" ht="21.75" hidden="false" customHeight="true" outlineLevel="0" collapsed="false">
      <c r="A24" s="42" t="s">
        <v>385</v>
      </c>
    </row>
    <row r="25" customFormat="false" ht="21.75" hidden="false" customHeight="true" outlineLevel="0" collapsed="false">
      <c r="A25" s="43" t="s">
        <v>367</v>
      </c>
      <c r="B25" s="29" t="str">
        <f aca="false">A8</f>
        <v>Player 3</v>
      </c>
      <c r="C25" s="44"/>
      <c r="D25" s="29" t="str">
        <f aca="false">A10</f>
        <v>Player 5</v>
      </c>
      <c r="E25" s="44"/>
      <c r="F25" s="29" t="str">
        <f aca="false">A10</f>
        <v>Player 5</v>
      </c>
      <c r="G25" s="44"/>
      <c r="H25" s="29" t="str">
        <f aca="false">A9</f>
        <v>Player 4</v>
      </c>
      <c r="I25" s="44"/>
      <c r="J25" s="29" t="str">
        <f aca="false">A7</f>
        <v>Player 2</v>
      </c>
      <c r="K25" s="44"/>
      <c r="L25" s="29" t="str">
        <f aca="false">A7</f>
        <v>Player 2</v>
      </c>
      <c r="M25" s="44"/>
    </row>
    <row r="26" customFormat="false" ht="21.75" hidden="false" customHeight="true" outlineLevel="0" collapsed="false">
      <c r="A26" s="45"/>
      <c r="B26" s="29" t="str">
        <f aca="false">A9</f>
        <v>Player 4</v>
      </c>
      <c r="C26" s="46"/>
      <c r="D26" s="29" t="str">
        <f aca="false">A6</f>
        <v>Player 1</v>
      </c>
      <c r="E26" s="46"/>
      <c r="F26" s="29" t="str">
        <f aca="false">A11</f>
        <v>Player 6</v>
      </c>
      <c r="G26" s="46"/>
      <c r="H26" s="29" t="str">
        <f aca="false">A7</f>
        <v>Player 2</v>
      </c>
      <c r="I26" s="46"/>
      <c r="J26" s="29" t="str">
        <f aca="false">A11</f>
        <v>Player 6</v>
      </c>
      <c r="K26" s="46"/>
      <c r="L26" s="29" t="str">
        <f aca="false">A10</f>
        <v>Player 5</v>
      </c>
      <c r="M26" s="46"/>
    </row>
    <row r="27" customFormat="false" ht="18" hidden="false" customHeight="true" outlineLevel="0" collapsed="false">
      <c r="A27" s="47" t="s">
        <v>368</v>
      </c>
      <c r="B27" s="47" t="s">
        <v>369</v>
      </c>
      <c r="C27" s="44"/>
      <c r="D27" s="47" t="s">
        <v>369</v>
      </c>
      <c r="E27" s="44"/>
      <c r="F27" s="47" t="s">
        <v>369</v>
      </c>
      <c r="G27" s="44"/>
      <c r="H27" s="47" t="s">
        <v>369</v>
      </c>
      <c r="I27" s="44"/>
      <c r="J27" s="47" t="s">
        <v>369</v>
      </c>
      <c r="K27" s="44"/>
      <c r="L27" s="47" t="s">
        <v>369</v>
      </c>
      <c r="M27" s="44"/>
    </row>
    <row r="28" customFormat="false" ht="21.75" hidden="false" customHeight="true" outlineLevel="0" collapsed="false">
      <c r="A28" s="43" t="s">
        <v>370</v>
      </c>
      <c r="B28" s="29" t="str">
        <f aca="false">A12</f>
        <v>Player 7</v>
      </c>
      <c r="C28" s="44"/>
      <c r="D28" s="29" t="str">
        <f aca="false">A9</f>
        <v>Player 4</v>
      </c>
      <c r="E28" s="44"/>
      <c r="F28" s="29" t="str">
        <f aca="false">A13</f>
        <v>Player 8</v>
      </c>
      <c r="G28" s="44"/>
      <c r="H28" s="29" t="str">
        <f aca="false">A12</f>
        <v>Player 7</v>
      </c>
      <c r="I28" s="44"/>
      <c r="J28" s="29" t="str">
        <f aca="false">A14</f>
        <v>Player 9</v>
      </c>
      <c r="K28" s="44"/>
      <c r="L28" s="29" t="str">
        <f aca="false">A8</f>
        <v>Player 3</v>
      </c>
      <c r="M28" s="44"/>
    </row>
    <row r="29" customFormat="false" ht="21.75" hidden="false" customHeight="true" outlineLevel="0" collapsed="false">
      <c r="A29" s="45"/>
      <c r="B29" s="29" t="str">
        <f aca="false">A11</f>
        <v>Player 6</v>
      </c>
      <c r="C29" s="46"/>
      <c r="D29" s="29" t="str">
        <f aca="false">A11</f>
        <v>Player 6</v>
      </c>
      <c r="E29" s="46"/>
      <c r="F29" s="29" t="str">
        <f aca="false">A14</f>
        <v>Player 9</v>
      </c>
      <c r="G29" s="46"/>
      <c r="H29" s="29" t="str">
        <f aca="false">A6</f>
        <v>Player 1</v>
      </c>
      <c r="I29" s="46"/>
      <c r="J29" s="29" t="str">
        <f aca="false">A9</f>
        <v>Player 4</v>
      </c>
      <c r="K29" s="46"/>
      <c r="L29" s="29" t="str">
        <f aca="false">A11</f>
        <v>Player 6</v>
      </c>
      <c r="M29" s="46"/>
    </row>
    <row r="31" customFormat="false" ht="21.75" hidden="false" customHeight="true" outlineLevel="0" collapsed="false">
      <c r="A31" s="48" t="s">
        <v>374</v>
      </c>
      <c r="B31" s="49" t="str">
        <f aca="false">A14</f>
        <v>Player 9</v>
      </c>
      <c r="C31" s="49"/>
      <c r="D31" s="49" t="str">
        <f aca="false">A13</f>
        <v>Player 8</v>
      </c>
      <c r="E31" s="49"/>
      <c r="F31" s="49" t="str">
        <f aca="false">A12</f>
        <v>Player 7</v>
      </c>
      <c r="G31" s="49"/>
      <c r="H31" s="49" t="str">
        <f aca="false">A11</f>
        <v>Player 6</v>
      </c>
      <c r="I31" s="49"/>
      <c r="J31" s="49" t="str">
        <f aca="false">A10</f>
        <v>Player 5</v>
      </c>
      <c r="K31" s="49"/>
      <c r="L31" s="49" t="str">
        <f aca="false">A9</f>
        <v>Player 4</v>
      </c>
      <c r="M31" s="49"/>
    </row>
  </sheetData>
  <mergeCells count="16">
    <mergeCell ref="A1:M1"/>
    <mergeCell ref="A2:M2"/>
    <mergeCell ref="A4:G4"/>
    <mergeCell ref="A16:M16"/>
    <mergeCell ref="B17:C17"/>
    <mergeCell ref="D17:E17"/>
    <mergeCell ref="F17:G17"/>
    <mergeCell ref="H17:I17"/>
    <mergeCell ref="J17:K17"/>
    <mergeCell ref="L17:M17"/>
    <mergeCell ref="B31:C31"/>
    <mergeCell ref="D31:E31"/>
    <mergeCell ref="F31:G31"/>
    <mergeCell ref="H31:I31"/>
    <mergeCell ref="J31:K31"/>
    <mergeCell ref="L31:M3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3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6" topLeftCell="A17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12"/>
    <col collapsed="false" customWidth="true" hidden="false" outlineLevel="0" max="3" min="3" style="0" width="7"/>
    <col collapsed="false" customWidth="true" hidden="false" outlineLevel="0" max="4" min="4" style="0" width="12"/>
    <col collapsed="false" customWidth="true" hidden="false" outlineLevel="0" max="5" min="5" style="0" width="7"/>
    <col collapsed="false" customWidth="true" hidden="false" outlineLevel="0" max="6" min="6" style="0" width="12"/>
    <col collapsed="false" customWidth="true" hidden="false" outlineLevel="0" max="7" min="7" style="0" width="7"/>
    <col collapsed="false" customWidth="true" hidden="false" outlineLevel="0" max="8" min="8" style="0" width="12"/>
    <col collapsed="false" customWidth="true" hidden="false" outlineLevel="0" max="9" min="9" style="0" width="7"/>
    <col collapsed="false" customWidth="true" hidden="false" outlineLevel="0" max="10" min="10" style="0" width="12"/>
    <col collapsed="false" customWidth="true" hidden="false" outlineLevel="0" max="11" min="11" style="0" width="7"/>
    <col collapsed="false" customWidth="true" hidden="false" outlineLevel="0" max="12" min="12" style="0" width="12"/>
    <col collapsed="false" customWidth="true" hidden="false" outlineLevel="0" max="13" min="13" style="0" width="7"/>
  </cols>
  <sheetData>
    <row r="1" customFormat="false" ht="22.05" hidden="false" customHeight="false" outlineLevel="0" collapsed="false">
      <c r="A1" s="36" t="s">
        <v>389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</row>
    <row r="2" customFormat="false" ht="15" hidden="false" customHeight="false" outlineLevel="0" collapsed="false">
      <c r="A2" s="37" t="s">
        <v>390</v>
      </c>
      <c r="B2" s="37"/>
      <c r="C2" s="37"/>
      <c r="D2" s="37"/>
      <c r="E2" s="37"/>
      <c r="F2" s="37"/>
      <c r="G2" s="37"/>
      <c r="H2" s="37"/>
      <c r="I2" s="37"/>
      <c r="J2" s="37"/>
      <c r="K2" s="37"/>
      <c r="L2" s="37"/>
      <c r="M2" s="37"/>
    </row>
    <row r="4" customFormat="false" ht="15" hidden="false" customHeight="true" outlineLevel="0" collapsed="false">
      <c r="A4" s="18" t="s">
        <v>346</v>
      </c>
      <c r="B4" s="18"/>
      <c r="C4" s="18"/>
      <c r="D4" s="18"/>
      <c r="E4" s="18"/>
      <c r="F4" s="18"/>
      <c r="G4" s="18"/>
    </row>
    <row r="5" customFormat="false" ht="21.75" hidden="false" customHeight="true" outlineLevel="0" collapsed="false">
      <c r="A5" s="38" t="s">
        <v>347</v>
      </c>
      <c r="B5" s="38" t="s">
        <v>348</v>
      </c>
      <c r="C5" s="38" t="s">
        <v>349</v>
      </c>
      <c r="D5" s="38" t="s">
        <v>350</v>
      </c>
      <c r="E5" s="38" t="s">
        <v>351</v>
      </c>
      <c r="F5" s="38" t="s">
        <v>352</v>
      </c>
      <c r="G5" s="38" t="s">
        <v>353</v>
      </c>
    </row>
    <row r="6" customFormat="false" ht="15" hidden="false" customHeight="false" outlineLevel="0" collapsed="false">
      <c r="A6" s="39" t="s">
        <v>354</v>
      </c>
      <c r="B6" s="40" t="n">
        <f aca="false">IF(E27&gt;E30,1,0)+IF(G27&gt;G30,1,0)+IF(I27&gt;I30,1,0)+IF(K27&gt;K30,1,0)+IF(M30&gt;M27,1,0)</f>
        <v>0</v>
      </c>
      <c r="C6" s="40" t="n">
        <f aca="false">N(E27)+N(G27)+N(I27)+N(K27)+N(M30)</f>
        <v>0</v>
      </c>
      <c r="D6" s="40" t="n">
        <f aca="false">N(E30)+N(G30)+N(I30)+N(K30)+N(M27)</f>
        <v>0</v>
      </c>
      <c r="E6" s="40" t="n">
        <f aca="false">C6-D6</f>
        <v>0</v>
      </c>
      <c r="F6" s="40" t="n">
        <f aca="false">RANK(B6,$B$6:$B$15)+SUMPRODUCT(($B$6:$B$15=B6)*($E$6:$E$15&gt;E6))</f>
        <v>1</v>
      </c>
      <c r="G6" s="40" t="n">
        <f aca="false">IF(N(E27)+N(E30)&gt;0,1,0)+IF(N(G27)+N(G30)&gt;0,1,0)+IF(N(I27)+N(I30)&gt;0,1,0)+IF(N(K27)+N(K30)&gt;0,1,0)+IF(N(M30)+N(M27)&gt;0,1,0)</f>
        <v>0</v>
      </c>
    </row>
    <row r="7" customFormat="false" ht="15" hidden="false" customHeight="false" outlineLevel="0" collapsed="false">
      <c r="A7" s="39" t="s">
        <v>355</v>
      </c>
      <c r="B7" s="40" t="n">
        <f aca="false">IF(C30&gt;C27,1,0)+IF(G30&gt;G27,1,0)+IF(I27&gt;I30,1,0)+IF(K30&gt;K27,1,0)+IF(M27&gt;M30,1,0)</f>
        <v>0</v>
      </c>
      <c r="C7" s="40" t="n">
        <f aca="false">N(C30)+N(G30)+N(I27)+N(K30)+N(M27)</f>
        <v>0</v>
      </c>
      <c r="D7" s="40" t="n">
        <f aca="false">N(C27)+N(G27)+N(I30)+N(K27)+N(M30)</f>
        <v>0</v>
      </c>
      <c r="E7" s="40" t="n">
        <f aca="false">C7-D7</f>
        <v>0</v>
      </c>
      <c r="F7" s="40" t="n">
        <f aca="false">RANK(B7,$B$6:$B$15)+SUMPRODUCT(($B$6:$B$15=B7)*($E$6:$E$15&gt;E7))</f>
        <v>1</v>
      </c>
      <c r="G7" s="40" t="n">
        <f aca="false">IF(N(C30)+N(C27)&gt;0,1,0)+IF(N(G30)+N(G27)&gt;0,1,0)+IF(N(I27)+N(I30)&gt;0,1,0)+IF(N(K30)+N(K27)&gt;0,1,0)+IF(N(M27)+N(M30)&gt;0,1,0)</f>
        <v>0</v>
      </c>
    </row>
    <row r="8" customFormat="false" ht="15" hidden="false" customHeight="false" outlineLevel="0" collapsed="false">
      <c r="A8" s="39" t="s">
        <v>356</v>
      </c>
      <c r="B8" s="40" t="n">
        <f aca="false">IF(I21&gt;I24,1,0)+IF(M21&gt;M24,1,0)+IF(C27&gt;C30,1,0)+IF(E30&gt;E27,1,0)+IF(K30&gt;K27,1,0)</f>
        <v>0</v>
      </c>
      <c r="C8" s="40" t="n">
        <f aca="false">N(I21)+N(M21)+N(C27)+N(E30)+N(K30)</f>
        <v>0</v>
      </c>
      <c r="D8" s="40" t="n">
        <f aca="false">N(I24)+N(M24)+N(C30)+N(E27)+N(K27)</f>
        <v>0</v>
      </c>
      <c r="E8" s="40" t="n">
        <f aca="false">C8-D8</f>
        <v>0</v>
      </c>
      <c r="F8" s="40" t="n">
        <f aca="false">RANK(B8,$B$6:$B$15)+SUMPRODUCT(($B$6:$B$15=B8)*($E$6:$E$15&gt;E8))</f>
        <v>1</v>
      </c>
      <c r="G8" s="40" t="n">
        <f aca="false">IF(N(I21)+N(I24)&gt;0,1,0)+IF(N(M21)+N(M24)&gt;0,1,0)+IF(N(C27)+N(C30)&gt;0,1,0)+IF(N(E30)+N(E27)&gt;0,1,0)+IF(N(K30)+N(K27)&gt;0,1,0)</f>
        <v>0</v>
      </c>
    </row>
    <row r="9" customFormat="false" ht="15" hidden="false" customHeight="false" outlineLevel="0" collapsed="false">
      <c r="A9" s="39" t="s">
        <v>357</v>
      </c>
      <c r="B9" s="40" t="n">
        <f aca="false">IF(E21&gt;E24,1,0)+IF(G21&gt;G24,1,0)+IF(K21&gt;K24,1,0)+IF(M21&gt;M24,1,0)+IF(C30&gt;C27,1,0)</f>
        <v>0</v>
      </c>
      <c r="C9" s="40" t="n">
        <f aca="false">N(E21)+N(G21)+N(K21)+N(M21)+N(C30)</f>
        <v>0</v>
      </c>
      <c r="D9" s="40" t="n">
        <f aca="false">N(E24)+N(G24)+N(K24)+N(M24)+N(C27)</f>
        <v>0</v>
      </c>
      <c r="E9" s="40" t="n">
        <f aca="false">C9-D9</f>
        <v>0</v>
      </c>
      <c r="F9" s="40" t="n">
        <f aca="false">RANK(B9,$B$6:$B$15)+SUMPRODUCT(($B$6:$B$15=B9)*($E$6:$E$15&gt;E9))</f>
        <v>1</v>
      </c>
      <c r="G9" s="40" t="n">
        <f aca="false">IF(N(E21)+N(E24)&gt;0,1,0)+IF(N(G21)+N(G24)&gt;0,1,0)+IF(N(K21)+N(K24)&gt;0,1,0)+IF(N(M21)+N(M24)&gt;0,1,0)+IF(N(C30)+N(C27)&gt;0,1,0)</f>
        <v>0</v>
      </c>
    </row>
    <row r="10" customFormat="false" ht="15" hidden="false" customHeight="false" outlineLevel="0" collapsed="false">
      <c r="A10" s="39" t="s">
        <v>373</v>
      </c>
      <c r="B10" s="40" t="n">
        <f aca="false">IF(C24&gt;C21,1,0)+IF(G24&gt;G21,1,0)+IF(E27&gt;E30,1,0)+IF(I30&gt;I27,1,0)</f>
        <v>0</v>
      </c>
      <c r="C10" s="40" t="n">
        <f aca="false">N(C24)+N(G24)+N(E27)+N(I30)</f>
        <v>0</v>
      </c>
      <c r="D10" s="40" t="n">
        <f aca="false">N(C21)+N(G21)+N(E30)+N(I27)</f>
        <v>0</v>
      </c>
      <c r="E10" s="40" t="n">
        <f aca="false">C10-D10</f>
        <v>0</v>
      </c>
      <c r="F10" s="40" t="n">
        <f aca="false">RANK(B10,$B$6:$B$15)+SUMPRODUCT(($B$6:$B$15=B10)*($E$6:$E$15&gt;E10))</f>
        <v>1</v>
      </c>
      <c r="G10" s="40" t="n">
        <f aca="false">IF(N(C24)+N(C21)&gt;0,1,0)+IF(N(G24)+N(G21)&gt;0,1,0)+IF(N(E27)+N(E30)&gt;0,1,0)+IF(N(I30)+N(I27)&gt;0,1,0)</f>
        <v>0</v>
      </c>
    </row>
    <row r="11" customFormat="false" ht="15" hidden="false" customHeight="false" outlineLevel="0" collapsed="false">
      <c r="A11" s="39" t="s">
        <v>377</v>
      </c>
      <c r="B11" s="40" t="n">
        <f aca="false">IF(C21&gt;C24,1,0)+IF(E24&gt;E21,1,0)+IF(G21&gt;G24,1,0)+IF(I21&gt;I24,1,0)</f>
        <v>0</v>
      </c>
      <c r="C11" s="40" t="n">
        <f aca="false">N(C21)+N(E24)+N(G21)+N(I21)</f>
        <v>0</v>
      </c>
      <c r="D11" s="40" t="n">
        <f aca="false">N(C24)+N(E21)+N(G24)+N(I24)</f>
        <v>0</v>
      </c>
      <c r="E11" s="40" t="n">
        <f aca="false">C11-D11</f>
        <v>0</v>
      </c>
      <c r="F11" s="40" t="n">
        <f aca="false">RANK(B11,$B$6:$B$15)+SUMPRODUCT(($B$6:$B$15=B11)*($E$6:$E$15&gt;E11))</f>
        <v>1</v>
      </c>
      <c r="G11" s="40" t="n">
        <f aca="false">IF(N(C21)+N(C24)&gt;0,1,0)+IF(N(E24)+N(E21)&gt;0,1,0)+IF(N(G21)+N(G24)&gt;0,1,0)+IF(N(I21)+N(I24)&gt;0,1,0)</f>
        <v>0</v>
      </c>
    </row>
    <row r="12" customFormat="false" ht="15" hidden="false" customHeight="false" outlineLevel="0" collapsed="false">
      <c r="A12" s="39" t="s">
        <v>380</v>
      </c>
      <c r="B12" s="40" t="n">
        <f aca="false">IF(C24&gt;C21,1,0)+IF(K24&gt;K21,1,0)+IF(M24&gt;M21,1,0)+IF(E30&gt;E27,1,0)+IF(G27&gt;G30,1,0)</f>
        <v>0</v>
      </c>
      <c r="C12" s="40" t="n">
        <f aca="false">N(C24)+N(K24)+N(M24)+N(E30)+N(G27)</f>
        <v>0</v>
      </c>
      <c r="D12" s="40" t="n">
        <f aca="false">N(C21)+N(K21)+N(M21)+N(E27)+N(G30)</f>
        <v>0</v>
      </c>
      <c r="E12" s="40" t="n">
        <f aca="false">C12-D12</f>
        <v>0</v>
      </c>
      <c r="F12" s="40" t="n">
        <f aca="false">RANK(B12,$B$6:$B$15)+SUMPRODUCT(($B$6:$B$15=B12)*($E$6:$E$15&gt;E12))</f>
        <v>1</v>
      </c>
      <c r="G12" s="40" t="n">
        <f aca="false">IF(N(C24)+N(C21)&gt;0,1,0)+IF(N(K24)+N(K21)&gt;0,1,0)+IF(N(M24)+N(M21)&gt;0,1,0)+IF(N(E30)+N(E27)&gt;0,1,0)+IF(N(G27)+N(G30)&gt;0,1,0)</f>
        <v>0</v>
      </c>
    </row>
    <row r="13" customFormat="false" ht="15" hidden="false" customHeight="false" outlineLevel="0" collapsed="false">
      <c r="A13" s="39" t="s">
        <v>384</v>
      </c>
      <c r="B13" s="40" t="n">
        <f aca="false">IF(C21&gt;C24,1,0)+IF(E21&gt;E24,1,0)+IF(I24&gt;I21,1,0)+IF(K24&gt;K21,1,0)+IF(M27&gt;M30,1,0)</f>
        <v>0</v>
      </c>
      <c r="C13" s="40" t="n">
        <f aca="false">N(C21)+N(E21)+N(I24)+N(K24)+N(M27)</f>
        <v>0</v>
      </c>
      <c r="D13" s="40" t="n">
        <f aca="false">N(C24)+N(E24)+N(I21)+N(K21)+N(M30)</f>
        <v>0</v>
      </c>
      <c r="E13" s="40" t="n">
        <f aca="false">C13-D13</f>
        <v>0</v>
      </c>
      <c r="F13" s="40" t="n">
        <f aca="false">RANK(B13,$B$6:$B$15)+SUMPRODUCT(($B$6:$B$15=B13)*($E$6:$E$15&gt;E13))</f>
        <v>1</v>
      </c>
      <c r="G13" s="40" t="n">
        <f aca="false">IF(N(C21)+N(C24)&gt;0,1,0)+IF(N(E21)+N(E24)&gt;0,1,0)+IF(N(I24)+N(I21)&gt;0,1,0)+IF(N(K24)+N(K21)&gt;0,1,0)+IF(N(M27)+N(M30)&gt;0,1,0)</f>
        <v>0</v>
      </c>
    </row>
    <row r="14" customFormat="false" ht="15" hidden="false" customHeight="false" outlineLevel="0" collapsed="false">
      <c r="A14" s="39" t="s">
        <v>388</v>
      </c>
      <c r="B14" s="40" t="n">
        <f aca="false">IF(G24&gt;G21,1,0)+IF(I24&gt;I21,1,0)+IF(K21&gt;K24,1,0)+IF(C27&gt;C30,1,0)+IF(M30&gt;M27,1,0)</f>
        <v>0</v>
      </c>
      <c r="C14" s="40" t="n">
        <f aca="false">N(G24)+N(I24)+N(K21)+N(C27)+N(M30)</f>
        <v>0</v>
      </c>
      <c r="D14" s="40" t="n">
        <f aca="false">N(G21)+N(I21)+N(K24)+N(C30)+N(M27)</f>
        <v>0</v>
      </c>
      <c r="E14" s="40" t="n">
        <f aca="false">C14-D14</f>
        <v>0</v>
      </c>
      <c r="F14" s="40" t="n">
        <f aca="false">RANK(B14,$B$6:$B$15)+SUMPRODUCT(($B$6:$B$15=B14)*($E$6:$E$15&gt;E14))</f>
        <v>1</v>
      </c>
      <c r="G14" s="40" t="n">
        <f aca="false">IF(N(G24)+N(G21)&gt;0,1,0)+IF(N(I24)+N(I21)&gt;0,1,0)+IF(N(K21)+N(K24)&gt;0,1,0)+IF(N(C27)+N(C30)&gt;0,1,0)+IF(N(M30)+N(M27)&gt;0,1,0)</f>
        <v>0</v>
      </c>
    </row>
    <row r="15" customFormat="false" ht="15" hidden="false" customHeight="false" outlineLevel="0" collapsed="false">
      <c r="A15" s="39" t="s">
        <v>391</v>
      </c>
      <c r="B15" s="40" t="n">
        <f aca="false">IF(E24&gt;E21,1,0)+IF(M24&gt;M21,1,0)+IF(G30&gt;G27,1,0)+IF(I30&gt;I27,1,0)+IF(K27&gt;K30,1,0)</f>
        <v>0</v>
      </c>
      <c r="C15" s="40" t="n">
        <f aca="false">N(E24)+N(M24)+N(G30)+N(I30)+N(K27)</f>
        <v>0</v>
      </c>
      <c r="D15" s="40" t="n">
        <f aca="false">N(E21)+N(M21)+N(G27)+N(I27)+N(K30)</f>
        <v>0</v>
      </c>
      <c r="E15" s="40" t="n">
        <f aca="false">C15-D15</f>
        <v>0</v>
      </c>
      <c r="F15" s="40" t="n">
        <f aca="false">RANK(B15,$B$6:$B$15)+SUMPRODUCT(($B$6:$B$15=B15)*($E$6:$E$15&gt;E15))</f>
        <v>1</v>
      </c>
      <c r="G15" s="40" t="n">
        <f aca="false">IF(N(E24)+N(E21)&gt;0,1,0)+IF(N(M24)+N(M21)&gt;0,1,0)+IF(N(G30)+N(G27)&gt;0,1,0)+IF(N(I30)+N(I27)&gt;0,1,0)+IF(N(K27)+N(K30)&gt;0,1,0)</f>
        <v>0</v>
      </c>
    </row>
    <row r="17" customFormat="false" ht="15" hidden="false" customHeight="true" outlineLevel="0" collapsed="false">
      <c r="A17" s="18" t="s">
        <v>358</v>
      </c>
      <c r="B17" s="18"/>
      <c r="C17" s="18"/>
      <c r="D17" s="18"/>
      <c r="E17" s="18"/>
      <c r="F17" s="18"/>
      <c r="G17" s="18"/>
      <c r="H17" s="18"/>
      <c r="I17" s="18"/>
      <c r="J17" s="18"/>
      <c r="K17" s="18"/>
      <c r="L17" s="18"/>
      <c r="M17" s="18"/>
    </row>
    <row r="18" customFormat="false" ht="21.75" hidden="false" customHeight="true" outlineLevel="0" collapsed="false">
      <c r="A18" s="38" t="s">
        <v>359</v>
      </c>
      <c r="B18" s="41" t="s">
        <v>360</v>
      </c>
      <c r="C18" s="41"/>
      <c r="D18" s="41" t="s">
        <v>361</v>
      </c>
      <c r="E18" s="41"/>
      <c r="F18" s="41" t="s">
        <v>362</v>
      </c>
      <c r="G18" s="41"/>
      <c r="H18" s="41" t="s">
        <v>363</v>
      </c>
      <c r="I18" s="41"/>
      <c r="J18" s="41" t="s">
        <v>364</v>
      </c>
      <c r="K18" s="41"/>
      <c r="L18" s="41" t="s">
        <v>365</v>
      </c>
      <c r="M18" s="41"/>
    </row>
    <row r="19" customFormat="false" ht="21.75" hidden="false" customHeight="true" outlineLevel="0" collapsed="false">
      <c r="A19" s="42" t="s">
        <v>366</v>
      </c>
    </row>
    <row r="20" customFormat="false" ht="21.75" hidden="false" customHeight="true" outlineLevel="0" collapsed="false">
      <c r="A20" s="43" t="s">
        <v>367</v>
      </c>
      <c r="B20" s="29" t="str">
        <f aca="false">A13</f>
        <v>Player 8</v>
      </c>
      <c r="C20" s="44"/>
      <c r="D20" s="29" t="str">
        <f aca="false">A13</f>
        <v>Player 8</v>
      </c>
      <c r="E20" s="44"/>
      <c r="F20" s="29" t="str">
        <f aca="false">A11</f>
        <v>Player 6</v>
      </c>
      <c r="G20" s="44"/>
      <c r="H20" s="29" t="str">
        <f aca="false">A8</f>
        <v>Player 3</v>
      </c>
      <c r="I20" s="44"/>
      <c r="J20" s="29" t="str">
        <f aca="false">A9</f>
        <v>Player 4</v>
      </c>
      <c r="K20" s="44"/>
      <c r="L20" s="29" t="str">
        <f aca="false">A9</f>
        <v>Player 4</v>
      </c>
      <c r="M20" s="44"/>
    </row>
    <row r="21" customFormat="false" ht="21.75" hidden="false" customHeight="true" outlineLevel="0" collapsed="false">
      <c r="A21" s="45"/>
      <c r="B21" s="29" t="str">
        <f aca="false">A11</f>
        <v>Player 6</v>
      </c>
      <c r="C21" s="46"/>
      <c r="D21" s="29" t="str">
        <f aca="false">A9</f>
        <v>Player 4</v>
      </c>
      <c r="E21" s="46"/>
      <c r="F21" s="29" t="str">
        <f aca="false">A9</f>
        <v>Player 4</v>
      </c>
      <c r="G21" s="46"/>
      <c r="H21" s="29" t="str">
        <f aca="false">A11</f>
        <v>Player 6</v>
      </c>
      <c r="I21" s="46"/>
      <c r="J21" s="29" t="str">
        <f aca="false">A14</f>
        <v>Player 9</v>
      </c>
      <c r="K21" s="46"/>
      <c r="L21" s="29" t="str">
        <f aca="false">A8</f>
        <v>Player 3</v>
      </c>
      <c r="M21" s="46"/>
    </row>
    <row r="22" customFormat="false" ht="18" hidden="false" customHeight="true" outlineLevel="0" collapsed="false">
      <c r="A22" s="47" t="s">
        <v>368</v>
      </c>
      <c r="B22" s="47" t="s">
        <v>369</v>
      </c>
      <c r="C22" s="44"/>
      <c r="D22" s="47" t="s">
        <v>369</v>
      </c>
      <c r="E22" s="44"/>
      <c r="F22" s="47" t="s">
        <v>369</v>
      </c>
      <c r="G22" s="44"/>
      <c r="H22" s="47" t="s">
        <v>369</v>
      </c>
      <c r="I22" s="44"/>
      <c r="J22" s="47" t="s">
        <v>369</v>
      </c>
      <c r="K22" s="44"/>
      <c r="L22" s="47" t="s">
        <v>369</v>
      </c>
      <c r="M22" s="44"/>
    </row>
    <row r="23" customFormat="false" ht="21.75" hidden="false" customHeight="true" outlineLevel="0" collapsed="false">
      <c r="A23" s="43" t="s">
        <v>370</v>
      </c>
      <c r="B23" s="29" t="str">
        <f aca="false">A10</f>
        <v>Player 5</v>
      </c>
      <c r="C23" s="44"/>
      <c r="D23" s="29" t="str">
        <f aca="false">A11</f>
        <v>Player 6</v>
      </c>
      <c r="E23" s="44"/>
      <c r="F23" s="29" t="str">
        <f aca="false">A14</f>
        <v>Player 9</v>
      </c>
      <c r="G23" s="44"/>
      <c r="H23" s="29" t="str">
        <f aca="false">A14</f>
        <v>Player 9</v>
      </c>
      <c r="I23" s="44"/>
      <c r="J23" s="29" t="str">
        <f aca="false">A13</f>
        <v>Player 8</v>
      </c>
      <c r="K23" s="44"/>
      <c r="L23" s="29" t="str">
        <f aca="false">A12</f>
        <v>Player 7</v>
      </c>
      <c r="M23" s="44"/>
    </row>
    <row r="24" customFormat="false" ht="21.75" hidden="false" customHeight="true" outlineLevel="0" collapsed="false">
      <c r="A24" s="45"/>
      <c r="B24" s="29" t="str">
        <f aca="false">A12</f>
        <v>Player 7</v>
      </c>
      <c r="C24" s="46"/>
      <c r="D24" s="29" t="str">
        <f aca="false">A15</f>
        <v>Player 10</v>
      </c>
      <c r="E24" s="46"/>
      <c r="F24" s="29" t="str">
        <f aca="false">A10</f>
        <v>Player 5</v>
      </c>
      <c r="G24" s="46"/>
      <c r="H24" s="29" t="str">
        <f aca="false">A13</f>
        <v>Player 8</v>
      </c>
      <c r="I24" s="46"/>
      <c r="J24" s="29" t="str">
        <f aca="false">A12</f>
        <v>Player 7</v>
      </c>
      <c r="K24" s="46"/>
      <c r="L24" s="29" t="str">
        <f aca="false">A15</f>
        <v>Player 10</v>
      </c>
      <c r="M24" s="46"/>
    </row>
    <row r="25" customFormat="false" ht="21.75" hidden="false" customHeight="true" outlineLevel="0" collapsed="false">
      <c r="A25" s="42" t="s">
        <v>385</v>
      </c>
    </row>
    <row r="26" customFormat="false" ht="21.75" hidden="false" customHeight="true" outlineLevel="0" collapsed="false">
      <c r="A26" s="43" t="s">
        <v>367</v>
      </c>
      <c r="B26" s="29" t="str">
        <f aca="false">A8</f>
        <v>Player 3</v>
      </c>
      <c r="C26" s="44"/>
      <c r="D26" s="29" t="str">
        <f aca="false">A10</f>
        <v>Player 5</v>
      </c>
      <c r="E26" s="44"/>
      <c r="F26" s="29" t="str">
        <f aca="false">A6</f>
        <v>Player 1</v>
      </c>
      <c r="G26" s="44"/>
      <c r="H26" s="29" t="str">
        <f aca="false">A6</f>
        <v>Player 1</v>
      </c>
      <c r="I26" s="44"/>
      <c r="J26" s="29" t="str">
        <f aca="false">A15</f>
        <v>Player 10</v>
      </c>
      <c r="K26" s="44"/>
      <c r="L26" s="29" t="str">
        <f aca="false">A7</f>
        <v>Player 2</v>
      </c>
      <c r="M26" s="44"/>
    </row>
    <row r="27" customFormat="false" ht="21.75" hidden="false" customHeight="true" outlineLevel="0" collapsed="false">
      <c r="A27" s="45"/>
      <c r="B27" s="29" t="str">
        <f aca="false">A14</f>
        <v>Player 9</v>
      </c>
      <c r="C27" s="46"/>
      <c r="D27" s="29" t="str">
        <f aca="false">A6</f>
        <v>Player 1</v>
      </c>
      <c r="E27" s="46"/>
      <c r="F27" s="29" t="str">
        <f aca="false">A12</f>
        <v>Player 7</v>
      </c>
      <c r="G27" s="46"/>
      <c r="H27" s="29" t="str">
        <f aca="false">A7</f>
        <v>Player 2</v>
      </c>
      <c r="I27" s="46"/>
      <c r="J27" s="29" t="str">
        <f aca="false">A6</f>
        <v>Player 1</v>
      </c>
      <c r="K27" s="46"/>
      <c r="L27" s="29" t="str">
        <f aca="false">A13</f>
        <v>Player 8</v>
      </c>
      <c r="M27" s="46"/>
    </row>
    <row r="28" customFormat="false" ht="18" hidden="false" customHeight="true" outlineLevel="0" collapsed="false">
      <c r="A28" s="47" t="s">
        <v>368</v>
      </c>
      <c r="B28" s="47" t="s">
        <v>369</v>
      </c>
      <c r="C28" s="44"/>
      <c r="D28" s="47" t="s">
        <v>369</v>
      </c>
      <c r="E28" s="44"/>
      <c r="F28" s="47" t="s">
        <v>369</v>
      </c>
      <c r="G28" s="44"/>
      <c r="H28" s="47" t="s">
        <v>369</v>
      </c>
      <c r="I28" s="44"/>
      <c r="J28" s="47" t="s">
        <v>369</v>
      </c>
      <c r="K28" s="44"/>
      <c r="L28" s="47" t="s">
        <v>369</v>
      </c>
      <c r="M28" s="44"/>
    </row>
    <row r="29" customFormat="false" ht="21.75" hidden="false" customHeight="true" outlineLevel="0" collapsed="false">
      <c r="A29" s="43" t="s">
        <v>370</v>
      </c>
      <c r="B29" s="29" t="str">
        <f aca="false">A9</f>
        <v>Player 4</v>
      </c>
      <c r="C29" s="44"/>
      <c r="D29" s="29" t="str">
        <f aca="false">A12</f>
        <v>Player 7</v>
      </c>
      <c r="E29" s="44"/>
      <c r="F29" s="29" t="str">
        <f aca="false">A7</f>
        <v>Player 2</v>
      </c>
      <c r="G29" s="44"/>
      <c r="H29" s="29" t="str">
        <f aca="false">A15</f>
        <v>Player 10</v>
      </c>
      <c r="I29" s="44"/>
      <c r="J29" s="29" t="str">
        <f aca="false">A8</f>
        <v>Player 3</v>
      </c>
      <c r="K29" s="44"/>
      <c r="L29" s="29" t="str">
        <f aca="false">A14</f>
        <v>Player 9</v>
      </c>
      <c r="M29" s="44"/>
    </row>
    <row r="30" customFormat="false" ht="21.75" hidden="false" customHeight="true" outlineLevel="0" collapsed="false">
      <c r="A30" s="45"/>
      <c r="B30" s="29" t="str">
        <f aca="false">A7</f>
        <v>Player 2</v>
      </c>
      <c r="C30" s="46"/>
      <c r="D30" s="29" t="str">
        <f aca="false">A8</f>
        <v>Player 3</v>
      </c>
      <c r="E30" s="46"/>
      <c r="F30" s="29" t="str">
        <f aca="false">A15</f>
        <v>Player 10</v>
      </c>
      <c r="G30" s="46"/>
      <c r="H30" s="29" t="str">
        <f aca="false">A10</f>
        <v>Player 5</v>
      </c>
      <c r="I30" s="46"/>
      <c r="J30" s="29" t="str">
        <f aca="false">A7</f>
        <v>Player 2</v>
      </c>
      <c r="K30" s="46"/>
      <c r="L30" s="29" t="str">
        <f aca="false">A6</f>
        <v>Player 1</v>
      </c>
      <c r="M30" s="46"/>
    </row>
    <row r="32" customFormat="false" ht="21.75" hidden="false" customHeight="true" outlineLevel="0" collapsed="false">
      <c r="A32" s="48" t="s">
        <v>374</v>
      </c>
      <c r="B32" s="49" t="str">
        <f aca="false">A6&amp;", "&amp;A15</f>
        <v>Player 1, Player 10</v>
      </c>
      <c r="C32" s="49"/>
      <c r="D32" s="49" t="str">
        <f aca="false">A7&amp;", "&amp;A14</f>
        <v>Player 2, Player 9</v>
      </c>
      <c r="E32" s="49"/>
      <c r="F32" s="49" t="str">
        <f aca="false">A8&amp;", "&amp;A13</f>
        <v>Player 3, Player 8</v>
      </c>
      <c r="G32" s="49"/>
      <c r="H32" s="49" t="str">
        <f aca="false">A9&amp;", "&amp;A12</f>
        <v>Player 4, Player 7</v>
      </c>
      <c r="I32" s="49"/>
      <c r="J32" s="49" t="str">
        <f aca="false">A10&amp;", "&amp;A11</f>
        <v>Player 5, Player 6</v>
      </c>
      <c r="K32" s="49"/>
      <c r="L32" s="49" t="str">
        <f aca="false">A10&amp;", "&amp;A11</f>
        <v>Player 5, Player 6</v>
      </c>
      <c r="M32" s="49"/>
    </row>
  </sheetData>
  <mergeCells count="16">
    <mergeCell ref="A1:M1"/>
    <mergeCell ref="A2:M2"/>
    <mergeCell ref="A4:G4"/>
    <mergeCell ref="A17:M17"/>
    <mergeCell ref="B18:C18"/>
    <mergeCell ref="D18:E18"/>
    <mergeCell ref="F18:G18"/>
    <mergeCell ref="H18:I18"/>
    <mergeCell ref="J18:K18"/>
    <mergeCell ref="L18:M18"/>
    <mergeCell ref="B32:C32"/>
    <mergeCell ref="D32:E32"/>
    <mergeCell ref="F32:G32"/>
    <mergeCell ref="H32:I32"/>
    <mergeCell ref="J32:K32"/>
    <mergeCell ref="L32:M3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3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7" topLeftCell="A18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12"/>
    <col collapsed="false" customWidth="true" hidden="false" outlineLevel="0" max="3" min="3" style="0" width="7"/>
    <col collapsed="false" customWidth="true" hidden="false" outlineLevel="0" max="4" min="4" style="0" width="12"/>
    <col collapsed="false" customWidth="true" hidden="false" outlineLevel="0" max="5" min="5" style="0" width="7"/>
    <col collapsed="false" customWidth="true" hidden="false" outlineLevel="0" max="6" min="6" style="0" width="12"/>
    <col collapsed="false" customWidth="true" hidden="false" outlineLevel="0" max="7" min="7" style="0" width="7"/>
    <col collapsed="false" customWidth="true" hidden="false" outlineLevel="0" max="8" min="8" style="0" width="12"/>
    <col collapsed="false" customWidth="true" hidden="false" outlineLevel="0" max="9" min="9" style="0" width="7"/>
    <col collapsed="false" customWidth="true" hidden="false" outlineLevel="0" max="10" min="10" style="0" width="12"/>
    <col collapsed="false" customWidth="true" hidden="false" outlineLevel="0" max="11" min="11" style="0" width="7"/>
    <col collapsed="false" customWidth="true" hidden="false" outlineLevel="0" max="12" min="12" style="0" width="12"/>
    <col collapsed="false" customWidth="true" hidden="false" outlineLevel="0" max="13" min="13" style="0" width="7"/>
    <col collapsed="false" customWidth="true" hidden="false" outlineLevel="0" max="14" min="14" style="0" width="12"/>
    <col collapsed="false" customWidth="true" hidden="false" outlineLevel="0" max="15" min="15" style="0" width="7"/>
  </cols>
  <sheetData>
    <row r="1" customFormat="false" ht="22.05" hidden="false" customHeight="false" outlineLevel="0" collapsed="false">
      <c r="A1" s="36" t="s">
        <v>392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</row>
    <row r="2" customFormat="false" ht="15" hidden="false" customHeight="false" outlineLevel="0" collapsed="false">
      <c r="A2" s="37" t="s">
        <v>393</v>
      </c>
      <c r="B2" s="37"/>
      <c r="C2" s="37"/>
      <c r="D2" s="37"/>
      <c r="E2" s="37"/>
      <c r="F2" s="37"/>
      <c r="G2" s="37"/>
      <c r="H2" s="37"/>
      <c r="I2" s="37"/>
      <c r="J2" s="37"/>
      <c r="K2" s="37"/>
      <c r="L2" s="37"/>
      <c r="M2" s="37"/>
      <c r="N2" s="37"/>
      <c r="O2" s="37"/>
    </row>
    <row r="4" customFormat="false" ht="15" hidden="false" customHeight="true" outlineLevel="0" collapsed="false">
      <c r="A4" s="18" t="s">
        <v>346</v>
      </c>
      <c r="B4" s="18"/>
      <c r="C4" s="18"/>
      <c r="D4" s="18"/>
      <c r="E4" s="18"/>
      <c r="F4" s="18"/>
      <c r="G4" s="18"/>
    </row>
    <row r="5" customFormat="false" ht="21.75" hidden="false" customHeight="true" outlineLevel="0" collapsed="false">
      <c r="A5" s="38" t="s">
        <v>347</v>
      </c>
      <c r="B5" s="38" t="s">
        <v>348</v>
      </c>
      <c r="C5" s="38" t="s">
        <v>349</v>
      </c>
      <c r="D5" s="38" t="s">
        <v>350</v>
      </c>
      <c r="E5" s="38" t="s">
        <v>351</v>
      </c>
      <c r="F5" s="38" t="s">
        <v>352</v>
      </c>
      <c r="G5" s="38" t="s">
        <v>353</v>
      </c>
    </row>
    <row r="6" customFormat="false" ht="15" hidden="false" customHeight="false" outlineLevel="0" collapsed="false">
      <c r="A6" s="39" t="s">
        <v>354</v>
      </c>
      <c r="B6" s="40" t="n">
        <f aca="false">IF(G25&gt;G22,1,0)+IF(I22&gt;I25,1,0)+IF(K25&gt;K22,1,0)+IF(E31&gt;E28,1,0)+IF(O31&gt;O28,1,0)</f>
        <v>0</v>
      </c>
      <c r="C6" s="40" t="n">
        <f aca="false">N(G25)+N(I22)+N(K25)+N(E31)+N(O31)</f>
        <v>0</v>
      </c>
      <c r="D6" s="40" t="n">
        <f aca="false">N(G22)+N(I25)+N(K22)+N(E28)+N(O28)</f>
        <v>0</v>
      </c>
      <c r="E6" s="40" t="n">
        <f aca="false">C6-D6</f>
        <v>0</v>
      </c>
      <c r="F6" s="40" t="n">
        <f aca="false">RANK(B6,$B$6:$B$16)+SUMPRODUCT(($B$6:$B$16=B6)*($E$6:$E$16&gt;E6))</f>
        <v>1</v>
      </c>
      <c r="G6" s="40" t="n">
        <f aca="false">IF(N(G25)+N(G22)&gt;0,1,0)+IF(N(I22)+N(I25)&gt;0,1,0)+IF(N(K25)+N(K22)&gt;0,1,0)+IF(N(E31)+N(E28)&gt;0,1,0)+IF(N(O31)+N(O28)&gt;0,1,0)</f>
        <v>0</v>
      </c>
    </row>
    <row r="7" customFormat="false" ht="15" hidden="false" customHeight="false" outlineLevel="0" collapsed="false">
      <c r="A7" s="39" t="s">
        <v>355</v>
      </c>
      <c r="B7" s="40" t="n">
        <f aca="false">IF(I22&gt;I25,1,0)+IF(K22&gt;K25,1,0)+IF(E28&gt;E31,1,0)+IF(G28&gt;G31,1,0)+IF(M28&gt;M31,1,0)</f>
        <v>0</v>
      </c>
      <c r="C7" s="40" t="n">
        <f aca="false">N(I22)+N(K22)+N(E28)+N(G28)+N(M28)</f>
        <v>0</v>
      </c>
      <c r="D7" s="40" t="n">
        <f aca="false">N(I25)+N(K25)+N(E31)+N(G31)+N(M31)</f>
        <v>0</v>
      </c>
      <c r="E7" s="40" t="n">
        <f aca="false">C7-D7</f>
        <v>0</v>
      </c>
      <c r="F7" s="40" t="n">
        <f aca="false">RANK(B7,$B$6:$B$16)+SUMPRODUCT(($B$6:$B$16=B7)*($E$6:$E$16&gt;E7))</f>
        <v>1</v>
      </c>
      <c r="G7" s="40" t="n">
        <f aca="false">IF(N(I22)+N(I25)&gt;0,1,0)+IF(N(K22)+N(K25)&gt;0,1,0)+IF(N(E28)+N(E31)&gt;0,1,0)+IF(N(G28)+N(G31)&gt;0,1,0)+IF(N(M28)+N(M31)&gt;0,1,0)</f>
        <v>0</v>
      </c>
    </row>
    <row r="8" customFormat="false" ht="15" hidden="false" customHeight="false" outlineLevel="0" collapsed="false">
      <c r="A8" s="39" t="s">
        <v>356</v>
      </c>
      <c r="B8" s="40" t="n">
        <f aca="false">IF(C22&gt;C25,1,0)+IF(G31&gt;G28,1,0)+IF(I28&gt;I31,1,0)+IF(K31&gt;K28,1,0)+IF(M28&gt;M31,1,0)</f>
        <v>0</v>
      </c>
      <c r="C8" s="40" t="n">
        <f aca="false">N(C22)+N(G31)+N(I28)+N(K31)+N(M28)</f>
        <v>0</v>
      </c>
      <c r="D8" s="40" t="n">
        <f aca="false">N(C25)+N(G28)+N(I31)+N(K28)+N(M31)</f>
        <v>0</v>
      </c>
      <c r="E8" s="40" t="n">
        <f aca="false">C8-D8</f>
        <v>0</v>
      </c>
      <c r="F8" s="40" t="n">
        <f aca="false">RANK(B8,$B$6:$B$16)+SUMPRODUCT(($B$6:$B$16=B8)*($E$6:$E$16&gt;E8))</f>
        <v>1</v>
      </c>
      <c r="G8" s="40" t="n">
        <f aca="false">IF(N(C22)+N(C25)&gt;0,1,0)+IF(N(G31)+N(G28)&gt;0,1,0)+IF(N(I28)+N(I31)&gt;0,1,0)+IF(N(K31)+N(K28)&gt;0,1,0)+IF(N(M28)+N(M31)&gt;0,1,0)</f>
        <v>0</v>
      </c>
    </row>
    <row r="9" customFormat="false" ht="15" hidden="false" customHeight="false" outlineLevel="0" collapsed="false">
      <c r="A9" s="39" t="s">
        <v>357</v>
      </c>
      <c r="B9" s="40" t="n">
        <f aca="false">IF(C22&gt;C25,1,0)+IF(G22&gt;G25,1,0)+IF(I25&gt;I22,1,0)+IF(K28&gt;K31,1,0)+IF(M31&gt;M28,1,0)+IF(O31&gt;O28,1,0)</f>
        <v>0</v>
      </c>
      <c r="C9" s="40" t="n">
        <f aca="false">N(C22)+N(G22)+N(I25)+N(K28)+N(M31)+N(O31)</f>
        <v>0</v>
      </c>
      <c r="D9" s="40" t="n">
        <f aca="false">N(C25)+N(G25)+N(I22)+N(K31)+N(M28)+N(O28)</f>
        <v>0</v>
      </c>
      <c r="E9" s="40" t="n">
        <f aca="false">C9-D9</f>
        <v>0</v>
      </c>
      <c r="F9" s="40" t="n">
        <f aca="false">RANK(B9,$B$6:$B$16)+SUMPRODUCT(($B$6:$B$16=B9)*($E$6:$E$16&gt;E9))</f>
        <v>1</v>
      </c>
      <c r="G9" s="40" t="n">
        <f aca="false">IF(N(C22)+N(C25)&gt;0,1,0)+IF(N(G22)+N(G25)&gt;0,1,0)+IF(N(I25)+N(I22)&gt;0,1,0)+IF(N(K28)+N(K31)&gt;0,1,0)+IF(N(M31)+N(M28)&gt;0,1,0)+IF(N(O31)+N(O28)&gt;0,1,0)</f>
        <v>0</v>
      </c>
    </row>
    <row r="10" customFormat="false" ht="15" hidden="false" customHeight="false" outlineLevel="0" collapsed="false">
      <c r="A10" s="39" t="s">
        <v>373</v>
      </c>
      <c r="B10" s="40" t="n">
        <f aca="false">IF(E25&gt;E22,1,0)+IF(K25&gt;K22,1,0)+IF(M22&gt;M25,1,0)+IF(C31&gt;C28,1,0)+IF(I31&gt;I28,1,0)</f>
        <v>0</v>
      </c>
      <c r="C10" s="40" t="n">
        <f aca="false">N(E25)+N(K25)+N(M22)+N(C31)+N(I31)</f>
        <v>0</v>
      </c>
      <c r="D10" s="40" t="n">
        <f aca="false">N(E22)+N(K22)+N(M25)+N(C28)+N(I28)</f>
        <v>0</v>
      </c>
      <c r="E10" s="40" t="n">
        <f aca="false">C10-D10</f>
        <v>0</v>
      </c>
      <c r="F10" s="40" t="n">
        <f aca="false">RANK(B10,$B$6:$B$16)+SUMPRODUCT(($B$6:$B$16=B10)*($E$6:$E$16&gt;E10))</f>
        <v>1</v>
      </c>
      <c r="G10" s="40" t="n">
        <f aca="false">IF(N(E25)+N(E22)&gt;0,1,0)+IF(N(K25)+N(K22)&gt;0,1,0)+IF(N(M22)+N(M25)&gt;0,1,0)+IF(N(C31)+N(C28)&gt;0,1,0)+IF(N(I31)+N(I28)&gt;0,1,0)</f>
        <v>0</v>
      </c>
    </row>
    <row r="11" customFormat="false" ht="15" hidden="false" customHeight="false" outlineLevel="0" collapsed="false">
      <c r="A11" s="39" t="s">
        <v>377</v>
      </c>
      <c r="B11" s="40" t="n">
        <f aca="false">IF(E22&gt;E25,1,0)+IF(O25&gt;O22,1,0)+IF(C31&gt;C28,1,0)+IF(I28&gt;I31,1,0)+IF(K28&gt;K31,1,0)</f>
        <v>0</v>
      </c>
      <c r="C11" s="40" t="n">
        <f aca="false">N(E22)+N(O25)+N(C31)+N(I28)+N(K28)</f>
        <v>0</v>
      </c>
      <c r="D11" s="40" t="n">
        <f aca="false">N(E25)+N(O22)+N(C28)+N(I31)+N(K31)</f>
        <v>0</v>
      </c>
      <c r="E11" s="40" t="n">
        <f aca="false">C11-D11</f>
        <v>0</v>
      </c>
      <c r="F11" s="40" t="n">
        <f aca="false">RANK(B11,$B$6:$B$16)+SUMPRODUCT(($B$6:$B$16=B11)*($E$6:$E$16&gt;E11))</f>
        <v>1</v>
      </c>
      <c r="G11" s="40" t="n">
        <f aca="false">IF(N(E22)+N(E25)&gt;0,1,0)+IF(N(O25)+N(O22)&gt;0,1,0)+IF(N(C31)+N(C28)&gt;0,1,0)+IF(N(I28)+N(I31)&gt;0,1,0)+IF(N(K28)+N(K31)&gt;0,1,0)</f>
        <v>0</v>
      </c>
    </row>
    <row r="12" customFormat="false" ht="15" hidden="false" customHeight="false" outlineLevel="0" collapsed="false">
      <c r="A12" s="39" t="s">
        <v>380</v>
      </c>
      <c r="B12" s="40" t="n">
        <f aca="false">IF(C25&gt;C22,1,0)+IF(E22&gt;E25,1,0)+IF(M22&gt;M25,1,0)+IF(O22&gt;O25,1,0)+IF(G31&gt;G28,1,0)</f>
        <v>0</v>
      </c>
      <c r="C12" s="40" t="n">
        <f aca="false">N(C25)+N(E22)+N(M22)+N(O22)+N(G31)</f>
        <v>0</v>
      </c>
      <c r="D12" s="40" t="n">
        <f aca="false">N(C22)+N(E25)+N(M25)+N(O25)+N(G28)</f>
        <v>0</v>
      </c>
      <c r="E12" s="40" t="n">
        <f aca="false">C12-D12</f>
        <v>0</v>
      </c>
      <c r="F12" s="40" t="n">
        <f aca="false">RANK(B12,$B$6:$B$16)+SUMPRODUCT(($B$6:$B$16=B12)*($E$6:$E$16&gt;E12))</f>
        <v>1</v>
      </c>
      <c r="G12" s="40" t="n">
        <f aca="false">IF(N(C25)+N(C22)&gt;0,1,0)+IF(N(E22)+N(E25)&gt;0,1,0)+IF(N(M22)+N(M25)&gt;0,1,0)+IF(N(O22)+N(O25)&gt;0,1,0)+IF(N(G31)+N(G28)&gt;0,1,0)</f>
        <v>0</v>
      </c>
    </row>
    <row r="13" customFormat="false" ht="15" hidden="false" customHeight="false" outlineLevel="0" collapsed="false">
      <c r="A13" s="39" t="s">
        <v>384</v>
      </c>
      <c r="B13" s="40" t="n">
        <f aca="false">IF(M25&gt;M22,1,0)+IF(O22&gt;O25,1,0)+IF(C28&gt;C31,1,0)+IF(E31&gt;E28,1,0)+IF(G28&gt;G31,1,0)</f>
        <v>0</v>
      </c>
      <c r="C13" s="40" t="n">
        <f aca="false">N(M25)+N(O22)+N(C28)+N(E31)+N(G28)</f>
        <v>0</v>
      </c>
      <c r="D13" s="40" t="n">
        <f aca="false">N(M22)+N(O25)+N(C31)+N(E28)+N(G31)</f>
        <v>0</v>
      </c>
      <c r="E13" s="40" t="n">
        <f aca="false">C13-D13</f>
        <v>0</v>
      </c>
      <c r="F13" s="40" t="n">
        <f aca="false">RANK(B13,$B$6:$B$16)+SUMPRODUCT(($B$6:$B$16=B13)*($E$6:$E$16&gt;E13))</f>
        <v>1</v>
      </c>
      <c r="G13" s="40" t="n">
        <f aca="false">IF(N(M25)+N(M22)&gt;0,1,0)+IF(N(O22)+N(O25)&gt;0,1,0)+IF(N(C28)+N(C31)&gt;0,1,0)+IF(N(E31)+N(E28)&gt;0,1,0)+IF(N(G28)+N(G31)&gt;0,1,0)</f>
        <v>0</v>
      </c>
    </row>
    <row r="14" customFormat="false" ht="15" hidden="false" customHeight="false" outlineLevel="0" collapsed="false">
      <c r="A14" s="39" t="s">
        <v>388</v>
      </c>
      <c r="B14" s="40" t="n">
        <f aca="false">IF(C28&gt;C31,1,0)+IF(E28&gt;E31,1,0)+IF(K31&gt;K28,1,0)+IF(M31&gt;M28,1,0)+IF(O28&gt;O31,1,0)</f>
        <v>0</v>
      </c>
      <c r="C14" s="40" t="n">
        <f aca="false">N(C28)+N(E28)+N(K31)+N(M31)+N(O28)</f>
        <v>0</v>
      </c>
      <c r="D14" s="40" t="n">
        <f aca="false">N(C31)+N(E31)+N(K28)+N(M28)+N(O31)</f>
        <v>0</v>
      </c>
      <c r="E14" s="40" t="n">
        <f aca="false">C14-D14</f>
        <v>0</v>
      </c>
      <c r="F14" s="40" t="n">
        <f aca="false">RANK(B14,$B$6:$B$16)+SUMPRODUCT(($B$6:$B$16=B14)*($E$6:$E$16&gt;E14))</f>
        <v>1</v>
      </c>
      <c r="G14" s="40" t="n">
        <f aca="false">IF(N(C28)+N(C31)&gt;0,1,0)+IF(N(E28)+N(E31)&gt;0,1,0)+IF(N(K31)+N(K28)&gt;0,1,0)+IF(N(M31)+N(M28)&gt;0,1,0)+IF(N(O28)+N(O31)&gt;0,1,0)</f>
        <v>0</v>
      </c>
    </row>
    <row r="15" customFormat="false" ht="15" hidden="false" customHeight="false" outlineLevel="0" collapsed="false">
      <c r="A15" s="39" t="s">
        <v>391</v>
      </c>
      <c r="B15" s="40" t="n">
        <f aca="false">IF(C25&gt;C22,1,0)+IF(G22&gt;G25,1,0)+IF(M25&gt;M22,1,0)+IF(I31&gt;I28,1,0)+IF(O28&gt;O31,1,0)</f>
        <v>0</v>
      </c>
      <c r="C15" s="40" t="n">
        <f aca="false">N(C25)+N(G22)+N(M25)+N(I31)+N(O28)</f>
        <v>0</v>
      </c>
      <c r="D15" s="40" t="n">
        <f aca="false">N(C22)+N(G25)+N(M22)+N(I28)+N(O31)</f>
        <v>0</v>
      </c>
      <c r="E15" s="40" t="n">
        <f aca="false">C15-D15</f>
        <v>0</v>
      </c>
      <c r="F15" s="40" t="n">
        <f aca="false">RANK(B15,$B$6:$B$16)+SUMPRODUCT(($B$6:$B$16=B15)*($E$6:$E$16&gt;E15))</f>
        <v>1</v>
      </c>
      <c r="G15" s="40" t="n">
        <f aca="false">IF(N(C25)+N(C22)&gt;0,1,0)+IF(N(G22)+N(G25)&gt;0,1,0)+IF(N(M25)+N(M22)&gt;0,1,0)+IF(N(I31)+N(I28)&gt;0,1,0)+IF(N(O28)+N(O31)&gt;0,1,0)</f>
        <v>0</v>
      </c>
    </row>
    <row r="16" customFormat="false" ht="15" hidden="false" customHeight="false" outlineLevel="0" collapsed="false">
      <c r="A16" s="39" t="s">
        <v>394</v>
      </c>
      <c r="B16" s="40" t="n">
        <f aca="false">IF(E25&gt;E22,1,0)+IF(G25&gt;G22,1,0)+IF(I25&gt;I22,1,0)+IF(K22&gt;K25,1,0)+IF(O25&gt;O22,1,0)</f>
        <v>0</v>
      </c>
      <c r="C16" s="40" t="n">
        <f aca="false">N(E25)+N(G25)+N(I25)+N(K22)+N(O25)</f>
        <v>0</v>
      </c>
      <c r="D16" s="40" t="n">
        <f aca="false">N(E22)+N(G22)+N(I22)+N(K25)+N(O22)</f>
        <v>0</v>
      </c>
      <c r="E16" s="40" t="n">
        <f aca="false">C16-D16</f>
        <v>0</v>
      </c>
      <c r="F16" s="40" t="n">
        <f aca="false">RANK(B16,$B$6:$B$16)+SUMPRODUCT(($B$6:$B$16=B16)*($E$6:$E$16&gt;E16))</f>
        <v>1</v>
      </c>
      <c r="G16" s="40" t="n">
        <f aca="false">IF(N(E25)+N(E22)&gt;0,1,0)+IF(N(G25)+N(G22)&gt;0,1,0)+IF(N(I25)+N(I22)&gt;0,1,0)+IF(N(K22)+N(K25)&gt;0,1,0)+IF(N(O25)+N(O22)&gt;0,1,0)</f>
        <v>0</v>
      </c>
    </row>
    <row r="18" customFormat="false" ht="15" hidden="false" customHeight="true" outlineLevel="0" collapsed="false">
      <c r="A18" s="18" t="s">
        <v>358</v>
      </c>
      <c r="B18" s="18"/>
      <c r="C18" s="18"/>
      <c r="D18" s="18"/>
      <c r="E18" s="18"/>
      <c r="F18" s="18"/>
      <c r="G18" s="18"/>
      <c r="H18" s="18"/>
      <c r="I18" s="18"/>
      <c r="J18" s="18"/>
      <c r="K18" s="18"/>
      <c r="L18" s="18"/>
      <c r="M18" s="18"/>
      <c r="N18" s="18"/>
      <c r="O18" s="18"/>
    </row>
    <row r="19" customFormat="false" ht="21.75" hidden="false" customHeight="true" outlineLevel="0" collapsed="false">
      <c r="A19" s="38" t="s">
        <v>359</v>
      </c>
      <c r="B19" s="41" t="s">
        <v>360</v>
      </c>
      <c r="C19" s="41"/>
      <c r="D19" s="41" t="s">
        <v>361</v>
      </c>
      <c r="E19" s="41"/>
      <c r="F19" s="41" t="s">
        <v>362</v>
      </c>
      <c r="G19" s="41"/>
      <c r="H19" s="41" t="s">
        <v>363</v>
      </c>
      <c r="I19" s="41"/>
      <c r="J19" s="41" t="s">
        <v>364</v>
      </c>
      <c r="K19" s="41"/>
      <c r="L19" s="41" t="s">
        <v>365</v>
      </c>
      <c r="M19" s="41"/>
      <c r="N19" s="41" t="s">
        <v>381</v>
      </c>
      <c r="O19" s="41"/>
    </row>
    <row r="20" customFormat="false" ht="21.75" hidden="false" customHeight="true" outlineLevel="0" collapsed="false">
      <c r="A20" s="42" t="s">
        <v>366</v>
      </c>
    </row>
    <row r="21" customFormat="false" ht="21.75" hidden="false" customHeight="true" outlineLevel="0" collapsed="false">
      <c r="A21" s="43" t="s">
        <v>367</v>
      </c>
      <c r="B21" s="29" t="str">
        <f aca="false">A8</f>
        <v>Player 3</v>
      </c>
      <c r="C21" s="44"/>
      <c r="D21" s="29" t="str">
        <f aca="false">A12</f>
        <v>Player 7</v>
      </c>
      <c r="E21" s="44"/>
      <c r="F21" s="29" t="str">
        <f aca="false">A15</f>
        <v>Player 10</v>
      </c>
      <c r="G21" s="44"/>
      <c r="H21" s="29" t="str">
        <f aca="false">A7</f>
        <v>Player 2</v>
      </c>
      <c r="I21" s="44"/>
      <c r="J21" s="29" t="str">
        <f aca="false">A16</f>
        <v>Player 11</v>
      </c>
      <c r="K21" s="44"/>
      <c r="L21" s="29" t="str">
        <f aca="false">A12</f>
        <v>Player 7</v>
      </c>
      <c r="M21" s="44"/>
      <c r="N21" s="29" t="str">
        <f aca="false">A12</f>
        <v>Player 7</v>
      </c>
      <c r="O21" s="44"/>
    </row>
    <row r="22" customFormat="false" ht="21.75" hidden="false" customHeight="true" outlineLevel="0" collapsed="false">
      <c r="A22" s="45"/>
      <c r="B22" s="29" t="str">
        <f aca="false">A9</f>
        <v>Player 4</v>
      </c>
      <c r="C22" s="46"/>
      <c r="D22" s="29" t="str">
        <f aca="false">A11</f>
        <v>Player 6</v>
      </c>
      <c r="E22" s="46"/>
      <c r="F22" s="29" t="str">
        <f aca="false">A9</f>
        <v>Player 4</v>
      </c>
      <c r="G22" s="46"/>
      <c r="H22" s="29" t="str">
        <f aca="false">A6</f>
        <v>Player 1</v>
      </c>
      <c r="I22" s="46"/>
      <c r="J22" s="29" t="str">
        <f aca="false">A7</f>
        <v>Player 2</v>
      </c>
      <c r="K22" s="46"/>
      <c r="L22" s="29" t="str">
        <f aca="false">A10</f>
        <v>Player 5</v>
      </c>
      <c r="M22" s="46"/>
      <c r="N22" s="29" t="str">
        <f aca="false">A13</f>
        <v>Player 8</v>
      </c>
      <c r="O22" s="46"/>
    </row>
    <row r="23" customFormat="false" ht="18" hidden="false" customHeight="true" outlineLevel="0" collapsed="false">
      <c r="A23" s="47" t="s">
        <v>368</v>
      </c>
      <c r="B23" s="47" t="s">
        <v>369</v>
      </c>
      <c r="C23" s="44"/>
      <c r="D23" s="47" t="s">
        <v>369</v>
      </c>
      <c r="E23" s="44"/>
      <c r="F23" s="47" t="s">
        <v>369</v>
      </c>
      <c r="G23" s="44"/>
      <c r="H23" s="47" t="s">
        <v>369</v>
      </c>
      <c r="I23" s="44"/>
      <c r="J23" s="47" t="s">
        <v>369</v>
      </c>
      <c r="K23" s="44"/>
      <c r="L23" s="47" t="s">
        <v>369</v>
      </c>
      <c r="M23" s="44"/>
      <c r="N23" s="47" t="s">
        <v>369</v>
      </c>
      <c r="O23" s="44"/>
    </row>
    <row r="24" customFormat="false" ht="21.75" hidden="false" customHeight="true" outlineLevel="0" collapsed="false">
      <c r="A24" s="43" t="s">
        <v>370</v>
      </c>
      <c r="B24" s="29" t="str">
        <f aca="false">A15</f>
        <v>Player 10</v>
      </c>
      <c r="C24" s="44"/>
      <c r="D24" s="29" t="str">
        <f aca="false">A16</f>
        <v>Player 11</v>
      </c>
      <c r="E24" s="44"/>
      <c r="F24" s="29" t="str">
        <f aca="false">A6</f>
        <v>Player 1</v>
      </c>
      <c r="G24" s="44"/>
      <c r="H24" s="29" t="str">
        <f aca="false">A9</f>
        <v>Player 4</v>
      </c>
      <c r="I24" s="44"/>
      <c r="J24" s="29" t="str">
        <f aca="false">A10</f>
        <v>Player 5</v>
      </c>
      <c r="K24" s="44"/>
      <c r="L24" s="29" t="str">
        <f aca="false">A13</f>
        <v>Player 8</v>
      </c>
      <c r="M24" s="44"/>
      <c r="N24" s="29" t="str">
        <f aca="false">A16</f>
        <v>Player 11</v>
      </c>
      <c r="O24" s="44"/>
    </row>
    <row r="25" customFormat="false" ht="21.75" hidden="false" customHeight="true" outlineLevel="0" collapsed="false">
      <c r="A25" s="45"/>
      <c r="B25" s="29" t="str">
        <f aca="false">A12</f>
        <v>Player 7</v>
      </c>
      <c r="C25" s="46"/>
      <c r="D25" s="29" t="str">
        <f aca="false">A10</f>
        <v>Player 5</v>
      </c>
      <c r="E25" s="46"/>
      <c r="F25" s="29" t="str">
        <f aca="false">A16</f>
        <v>Player 11</v>
      </c>
      <c r="G25" s="46"/>
      <c r="H25" s="29" t="str">
        <f aca="false">A16</f>
        <v>Player 11</v>
      </c>
      <c r="I25" s="46"/>
      <c r="J25" s="29" t="str">
        <f aca="false">A6</f>
        <v>Player 1</v>
      </c>
      <c r="K25" s="46"/>
      <c r="L25" s="29" t="str">
        <f aca="false">A15</f>
        <v>Player 10</v>
      </c>
      <c r="M25" s="46"/>
      <c r="N25" s="29" t="str">
        <f aca="false">A11</f>
        <v>Player 6</v>
      </c>
      <c r="O25" s="46"/>
    </row>
    <row r="26" customFormat="false" ht="21.75" hidden="false" customHeight="true" outlineLevel="0" collapsed="false">
      <c r="A26" s="42" t="s">
        <v>385</v>
      </c>
    </row>
    <row r="27" customFormat="false" ht="21.75" hidden="false" customHeight="true" outlineLevel="0" collapsed="false">
      <c r="A27" s="43" t="s">
        <v>367</v>
      </c>
      <c r="B27" s="29" t="str">
        <f aca="false">A13</f>
        <v>Player 8</v>
      </c>
      <c r="C27" s="44"/>
      <c r="D27" s="29" t="str">
        <f aca="false">A14</f>
        <v>Player 9</v>
      </c>
      <c r="E27" s="44"/>
      <c r="F27" s="29" t="str">
        <f aca="false">A7</f>
        <v>Player 2</v>
      </c>
      <c r="G27" s="44"/>
      <c r="H27" s="29" t="str">
        <f aca="false">A8</f>
        <v>Player 3</v>
      </c>
      <c r="I27" s="44"/>
      <c r="J27" s="29" t="str">
        <f aca="false">A11</f>
        <v>Player 6</v>
      </c>
      <c r="K27" s="44"/>
      <c r="L27" s="29" t="str">
        <f aca="false">A8</f>
        <v>Player 3</v>
      </c>
      <c r="M27" s="44"/>
      <c r="N27" s="29" t="str">
        <f aca="false">A15</f>
        <v>Player 10</v>
      </c>
      <c r="O27" s="44"/>
    </row>
    <row r="28" customFormat="false" ht="21.75" hidden="false" customHeight="true" outlineLevel="0" collapsed="false">
      <c r="A28" s="45"/>
      <c r="B28" s="29" t="str">
        <f aca="false">A14</f>
        <v>Player 9</v>
      </c>
      <c r="C28" s="46"/>
      <c r="D28" s="29" t="str">
        <f aca="false">A7</f>
        <v>Player 2</v>
      </c>
      <c r="E28" s="46"/>
      <c r="F28" s="29" t="str">
        <f aca="false">A13</f>
        <v>Player 8</v>
      </c>
      <c r="G28" s="46"/>
      <c r="H28" s="29" t="str">
        <f aca="false">A11</f>
        <v>Player 6</v>
      </c>
      <c r="I28" s="46"/>
      <c r="J28" s="29" t="str">
        <f aca="false">A9</f>
        <v>Player 4</v>
      </c>
      <c r="K28" s="46"/>
      <c r="L28" s="29" t="str">
        <f aca="false">A7</f>
        <v>Player 2</v>
      </c>
      <c r="M28" s="46"/>
      <c r="N28" s="29" t="str">
        <f aca="false">A14</f>
        <v>Player 9</v>
      </c>
      <c r="O28" s="46"/>
    </row>
    <row r="29" customFormat="false" ht="18" hidden="false" customHeight="true" outlineLevel="0" collapsed="false">
      <c r="A29" s="47" t="s">
        <v>368</v>
      </c>
      <c r="B29" s="47" t="s">
        <v>369</v>
      </c>
      <c r="C29" s="44"/>
      <c r="D29" s="47" t="s">
        <v>369</v>
      </c>
      <c r="E29" s="44"/>
      <c r="F29" s="47" t="s">
        <v>369</v>
      </c>
      <c r="G29" s="44"/>
      <c r="H29" s="47" t="s">
        <v>369</v>
      </c>
      <c r="I29" s="44"/>
      <c r="J29" s="47" t="s">
        <v>369</v>
      </c>
      <c r="K29" s="44"/>
      <c r="L29" s="47" t="s">
        <v>369</v>
      </c>
      <c r="M29" s="44"/>
      <c r="N29" s="47" t="s">
        <v>369</v>
      </c>
      <c r="O29" s="44"/>
    </row>
    <row r="30" customFormat="false" ht="21.75" hidden="false" customHeight="true" outlineLevel="0" collapsed="false">
      <c r="A30" s="43" t="s">
        <v>370</v>
      </c>
      <c r="B30" s="29" t="str">
        <f aca="false">A11</f>
        <v>Player 6</v>
      </c>
      <c r="C30" s="44"/>
      <c r="D30" s="29" t="str">
        <f aca="false">A13</f>
        <v>Player 8</v>
      </c>
      <c r="E30" s="44"/>
      <c r="F30" s="29" t="str">
        <f aca="false">A8</f>
        <v>Player 3</v>
      </c>
      <c r="G30" s="44"/>
      <c r="H30" s="29" t="str">
        <f aca="false">A15</f>
        <v>Player 10</v>
      </c>
      <c r="I30" s="44"/>
      <c r="J30" s="29" t="str">
        <f aca="false">A14</f>
        <v>Player 9</v>
      </c>
      <c r="K30" s="44"/>
      <c r="L30" s="29" t="str">
        <f aca="false">A14</f>
        <v>Player 9</v>
      </c>
      <c r="M30" s="44"/>
      <c r="N30" s="29" t="str">
        <f aca="false">A9</f>
        <v>Player 4</v>
      </c>
      <c r="O30" s="44"/>
    </row>
    <row r="31" customFormat="false" ht="21.75" hidden="false" customHeight="true" outlineLevel="0" collapsed="false">
      <c r="A31" s="45"/>
      <c r="B31" s="29" t="str">
        <f aca="false">A10</f>
        <v>Player 5</v>
      </c>
      <c r="C31" s="46"/>
      <c r="D31" s="29" t="str">
        <f aca="false">A6</f>
        <v>Player 1</v>
      </c>
      <c r="E31" s="46"/>
      <c r="F31" s="29" t="str">
        <f aca="false">A12</f>
        <v>Player 7</v>
      </c>
      <c r="G31" s="46"/>
      <c r="H31" s="29" t="str">
        <f aca="false">A10</f>
        <v>Player 5</v>
      </c>
      <c r="I31" s="46"/>
      <c r="J31" s="29" t="str">
        <f aca="false">A8</f>
        <v>Player 3</v>
      </c>
      <c r="K31" s="46"/>
      <c r="L31" s="29" t="str">
        <f aca="false">A9</f>
        <v>Player 4</v>
      </c>
      <c r="M31" s="46"/>
      <c r="N31" s="29" t="str">
        <f aca="false">A6</f>
        <v>Player 1</v>
      </c>
      <c r="O31" s="46"/>
    </row>
    <row r="33" customFormat="false" ht="21.75" hidden="false" customHeight="true" outlineLevel="0" collapsed="false">
      <c r="A33" s="48" t="s">
        <v>374</v>
      </c>
      <c r="B33" s="49" t="str">
        <f aca="false">A6&amp;", "&amp;A7&amp;", "&amp;A16</f>
        <v>Player 1, Player 2, Player 11</v>
      </c>
      <c r="C33" s="49"/>
      <c r="D33" s="49" t="str">
        <f aca="false">A8&amp;", "&amp;A9&amp;", "&amp;A15</f>
        <v>Player 3, Player 4, Player 10</v>
      </c>
      <c r="E33" s="49"/>
      <c r="F33" s="49" t="str">
        <f aca="false">A10&amp;", "&amp;A11&amp;", "&amp;A14</f>
        <v>Player 5, Player 6, Player 9</v>
      </c>
      <c r="G33" s="49"/>
      <c r="H33" s="49" t="str">
        <f aca="false">A12&amp;", "&amp;A13&amp;", "&amp;A14</f>
        <v>Player 7, Player 8, Player 9</v>
      </c>
      <c r="I33" s="49"/>
      <c r="J33" s="49" t="str">
        <f aca="false">A12&amp;", "&amp;A13&amp;", "&amp;A15</f>
        <v>Player 7, Player 8, Player 10</v>
      </c>
      <c r="K33" s="49"/>
      <c r="L33" s="49" t="str">
        <f aca="false">A6&amp;", "&amp;A11&amp;", "&amp;A16</f>
        <v>Player 1, Player 6, Player 11</v>
      </c>
      <c r="M33" s="49"/>
      <c r="N33" s="49" t="str">
        <f aca="false">A7&amp;", "&amp;A8&amp;", "&amp;A10</f>
        <v>Player 2, Player 3, Player 5</v>
      </c>
      <c r="O33" s="49"/>
    </row>
  </sheetData>
  <mergeCells count="18">
    <mergeCell ref="A1:O1"/>
    <mergeCell ref="A2:O2"/>
    <mergeCell ref="A4:G4"/>
    <mergeCell ref="A18:O18"/>
    <mergeCell ref="B19:C19"/>
    <mergeCell ref="D19:E19"/>
    <mergeCell ref="F19:G19"/>
    <mergeCell ref="H19:I19"/>
    <mergeCell ref="J19:K19"/>
    <mergeCell ref="L19:M19"/>
    <mergeCell ref="N19:O19"/>
    <mergeCell ref="B33:C33"/>
    <mergeCell ref="D33:E33"/>
    <mergeCell ref="F33:G33"/>
    <mergeCell ref="H33:I33"/>
    <mergeCell ref="J33:K33"/>
    <mergeCell ref="L33:M33"/>
    <mergeCell ref="N33:O3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3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8" topLeftCell="A19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12"/>
    <col collapsed="false" customWidth="true" hidden="false" outlineLevel="0" max="3" min="3" style="0" width="7"/>
    <col collapsed="false" customWidth="true" hidden="false" outlineLevel="0" max="4" min="4" style="0" width="12"/>
    <col collapsed="false" customWidth="true" hidden="false" outlineLevel="0" max="5" min="5" style="0" width="7"/>
    <col collapsed="false" customWidth="true" hidden="false" outlineLevel="0" max="6" min="6" style="0" width="12"/>
    <col collapsed="false" customWidth="true" hidden="false" outlineLevel="0" max="7" min="7" style="0" width="7"/>
    <col collapsed="false" customWidth="true" hidden="false" outlineLevel="0" max="8" min="8" style="0" width="12"/>
    <col collapsed="false" customWidth="true" hidden="false" outlineLevel="0" max="9" min="9" style="0" width="7"/>
    <col collapsed="false" customWidth="true" hidden="false" outlineLevel="0" max="10" min="10" style="0" width="12"/>
    <col collapsed="false" customWidth="true" hidden="false" outlineLevel="0" max="11" min="11" style="0" width="7"/>
    <col collapsed="false" customWidth="true" hidden="false" outlineLevel="0" max="12" min="12" style="0" width="12"/>
    <col collapsed="false" customWidth="true" hidden="false" outlineLevel="0" max="13" min="13" style="0" width="7"/>
  </cols>
  <sheetData>
    <row r="1" customFormat="false" ht="22.05" hidden="false" customHeight="false" outlineLevel="0" collapsed="false">
      <c r="A1" s="36" t="s">
        <v>395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</row>
    <row r="2" customFormat="false" ht="15" hidden="false" customHeight="false" outlineLevel="0" collapsed="false">
      <c r="A2" s="37" t="s">
        <v>396</v>
      </c>
      <c r="B2" s="37"/>
      <c r="C2" s="37"/>
      <c r="D2" s="37"/>
      <c r="E2" s="37"/>
      <c r="F2" s="37"/>
      <c r="G2" s="37"/>
      <c r="H2" s="37"/>
      <c r="I2" s="37"/>
      <c r="J2" s="37"/>
      <c r="K2" s="37"/>
      <c r="L2" s="37"/>
      <c r="M2" s="37"/>
    </row>
    <row r="4" customFormat="false" ht="15" hidden="false" customHeight="true" outlineLevel="0" collapsed="false">
      <c r="A4" s="18" t="s">
        <v>346</v>
      </c>
      <c r="B4" s="18"/>
      <c r="C4" s="18"/>
      <c r="D4" s="18"/>
      <c r="E4" s="18"/>
      <c r="F4" s="18"/>
      <c r="G4" s="18"/>
    </row>
    <row r="5" customFormat="false" ht="21.75" hidden="false" customHeight="true" outlineLevel="0" collapsed="false">
      <c r="A5" s="38" t="s">
        <v>347</v>
      </c>
      <c r="B5" s="38" t="s">
        <v>348</v>
      </c>
      <c r="C5" s="38" t="s">
        <v>349</v>
      </c>
      <c r="D5" s="38" t="s">
        <v>350</v>
      </c>
      <c r="E5" s="38" t="s">
        <v>351</v>
      </c>
      <c r="F5" s="38" t="s">
        <v>352</v>
      </c>
      <c r="G5" s="38" t="s">
        <v>353</v>
      </c>
    </row>
    <row r="6" customFormat="false" ht="15" hidden="false" customHeight="false" outlineLevel="0" collapsed="false">
      <c r="A6" s="39" t="s">
        <v>354</v>
      </c>
      <c r="B6" s="40" t="n">
        <f aca="false">IF(C26&gt;C23,1,0)+IF(G26&gt;G23,1,0)+IF(I23&gt;I26,1,0)+IF(K26&gt;K23,1,0)+IF(E29&gt;E32,1,0)+IF(M32&gt;M29,1,0)</f>
        <v>0</v>
      </c>
      <c r="C6" s="40" t="n">
        <f aca="false">N(C26)+N(G26)+N(I23)+N(K26)+N(E29)+N(M32)</f>
        <v>0</v>
      </c>
      <c r="D6" s="40" t="n">
        <f aca="false">N(C23)+N(G23)+N(I26)+N(K23)+N(E32)+N(M29)</f>
        <v>0</v>
      </c>
      <c r="E6" s="40" t="n">
        <f aca="false">C6-D6</f>
        <v>0</v>
      </c>
      <c r="F6" s="40" t="n">
        <f aca="false">RANK(B6,$B$6:$B$17)+SUMPRODUCT(($B$6:$B$17=B6)*($E$6:$E$17&gt;E6))</f>
        <v>1</v>
      </c>
      <c r="G6" s="40" t="n">
        <f aca="false">IF(N(C26)+N(C23)&gt;0,1,0)+IF(N(G26)+N(G23)&gt;0,1,0)+IF(N(I23)+N(I26)&gt;0,1,0)+IF(N(K26)+N(K23)&gt;0,1,0)+IF(N(E29)+N(E32)&gt;0,1,0)+IF(N(M32)+N(M29)&gt;0,1,0)</f>
        <v>0</v>
      </c>
    </row>
    <row r="7" customFormat="false" ht="15" hidden="false" customHeight="false" outlineLevel="0" collapsed="false">
      <c r="A7" s="39" t="s">
        <v>355</v>
      </c>
      <c r="B7" s="40" t="n">
        <f aca="false">IF(E26&gt;E23,1,0)+IF(C29&gt;C32,1,0)+IF(G32&gt;G29,1,0)+IF(K32&gt;K29,1,0)+IF(M32&gt;M29,1,0)+IF(I35&gt;I38,1,0)</f>
        <v>0</v>
      </c>
      <c r="C7" s="40" t="n">
        <f aca="false">N(E26)+N(C29)+N(G32)+N(K32)+N(M32)+N(I35)</f>
        <v>0</v>
      </c>
      <c r="D7" s="40" t="n">
        <f aca="false">N(E23)+N(C32)+N(G29)+N(K29)+N(M29)+N(I38)</f>
        <v>0</v>
      </c>
      <c r="E7" s="40" t="n">
        <f aca="false">C7-D7</f>
        <v>0</v>
      </c>
      <c r="F7" s="40" t="n">
        <f aca="false">RANK(B7,$B$6:$B$17)+SUMPRODUCT(($B$6:$B$17=B7)*($E$6:$E$17&gt;E7))</f>
        <v>1</v>
      </c>
      <c r="G7" s="40" t="n">
        <f aca="false">IF(N(E26)+N(E23)&gt;0,1,0)+IF(N(C29)+N(C32)&gt;0,1,0)+IF(N(G32)+N(G29)&gt;0,1,0)+IF(N(K32)+N(K29)&gt;0,1,0)+IF(N(M32)+N(M29)&gt;0,1,0)+IF(N(I35)+N(I38)&gt;0,1,0)</f>
        <v>0</v>
      </c>
    </row>
    <row r="8" customFormat="false" ht="15" hidden="false" customHeight="false" outlineLevel="0" collapsed="false">
      <c r="A8" s="39" t="s">
        <v>356</v>
      </c>
      <c r="B8" s="40" t="n">
        <f aca="false">IF(E23&gt;E26,1,0)+IF(G29&gt;G32,1,0)+IF(I29&gt;I32,1,0)+IF(C35&gt;C38,1,0)+IF(K38&gt;K35,1,0)+IF(M35&gt;M38,1,0)</f>
        <v>0</v>
      </c>
      <c r="C8" s="40" t="n">
        <f aca="false">N(E23)+N(G29)+N(I29)+N(C35)+N(K38)+N(M35)</f>
        <v>0</v>
      </c>
      <c r="D8" s="40" t="n">
        <f aca="false">N(E26)+N(G32)+N(I32)+N(C38)+N(K35)+N(M38)</f>
        <v>0</v>
      </c>
      <c r="E8" s="40" t="n">
        <f aca="false">C8-D8</f>
        <v>0</v>
      </c>
      <c r="F8" s="40" t="n">
        <f aca="false">RANK(B8,$B$6:$B$17)+SUMPRODUCT(($B$6:$B$17=B8)*($E$6:$E$17&gt;E8))</f>
        <v>1</v>
      </c>
      <c r="G8" s="40" t="n">
        <f aca="false">IF(N(E23)+N(E26)&gt;0,1,0)+IF(N(G29)+N(G32)&gt;0,1,0)+IF(N(I29)+N(I32)&gt;0,1,0)+IF(N(C35)+N(C38)&gt;0,1,0)+IF(N(K38)+N(K35)&gt;0,1,0)+IF(N(M35)+N(M38)&gt;0,1,0)</f>
        <v>0</v>
      </c>
    </row>
    <row r="9" customFormat="false" ht="15" hidden="false" customHeight="false" outlineLevel="0" collapsed="false">
      <c r="A9" s="39" t="s">
        <v>357</v>
      </c>
      <c r="B9" s="40" t="n">
        <f aca="false">IF(E26&gt;E23,1,0)+IF(I26&gt;I23,1,0)+IF(C32&gt;C29,1,0)+IF(G29&gt;G32,1,0)+IF(K35&gt;K38,1,0)+IF(M38&gt;M35,1,0)</f>
        <v>0</v>
      </c>
      <c r="C9" s="40" t="n">
        <f aca="false">N(E26)+N(I26)+N(C32)+N(G29)+N(K35)+N(M38)</f>
        <v>0</v>
      </c>
      <c r="D9" s="40" t="n">
        <f aca="false">N(E23)+N(I23)+N(C29)+N(G32)+N(K38)+N(M35)</f>
        <v>0</v>
      </c>
      <c r="E9" s="40" t="n">
        <f aca="false">C9-D9</f>
        <v>0</v>
      </c>
      <c r="F9" s="40" t="n">
        <f aca="false">RANK(B9,$B$6:$B$17)+SUMPRODUCT(($B$6:$B$17=B9)*($E$6:$E$17&gt;E9))</f>
        <v>1</v>
      </c>
      <c r="G9" s="40" t="n">
        <f aca="false">IF(N(E26)+N(E23)&gt;0,1,0)+IF(N(I26)+N(I23)&gt;0,1,0)+IF(N(C32)+N(C29)&gt;0,1,0)+IF(N(G29)+N(G32)&gt;0,1,0)+IF(N(K35)+N(K38)&gt;0,1,0)+IF(N(M38)+N(M35)&gt;0,1,0)</f>
        <v>0</v>
      </c>
    </row>
    <row r="10" customFormat="false" ht="15" hidden="false" customHeight="false" outlineLevel="0" collapsed="false">
      <c r="A10" s="39" t="s">
        <v>373</v>
      </c>
      <c r="B10" s="40" t="n">
        <f aca="false">IF(G26&gt;G23,1,0)+IF(M29&gt;M32,1,0)+IF(C38&gt;C35,1,0)+IF(E38&gt;E35,1,0)+IF(I38&gt;I35,1,0)+IF(K38&gt;K35,1,0)</f>
        <v>0</v>
      </c>
      <c r="C10" s="40" t="n">
        <f aca="false">N(G26)+N(M29)+N(C38)+N(E38)+N(I38)+N(K38)</f>
        <v>0</v>
      </c>
      <c r="D10" s="40" t="n">
        <f aca="false">N(G23)+N(M32)+N(C35)+N(E35)+N(I35)+N(K35)</f>
        <v>0</v>
      </c>
      <c r="E10" s="40" t="n">
        <f aca="false">C10-D10</f>
        <v>0</v>
      </c>
      <c r="F10" s="40" t="n">
        <f aca="false">RANK(B10,$B$6:$B$17)+SUMPRODUCT(($B$6:$B$17=B10)*($E$6:$E$17&gt;E10))</f>
        <v>1</v>
      </c>
      <c r="G10" s="40" t="n">
        <f aca="false">IF(N(G26)+N(G23)&gt;0,1,0)+IF(N(M29)+N(M32)&gt;0,1,0)+IF(N(C38)+N(C35)&gt;0,1,0)+IF(N(E38)+N(E35)&gt;0,1,0)+IF(N(I38)+N(I35)&gt;0,1,0)+IF(N(K38)+N(K35)&gt;0,1,0)</f>
        <v>0</v>
      </c>
    </row>
    <row r="11" customFormat="false" ht="15" hidden="false" customHeight="false" outlineLevel="0" collapsed="false">
      <c r="A11" s="39" t="s">
        <v>377</v>
      </c>
      <c r="B11" s="40" t="n">
        <f aca="false">IF(G23&gt;G26,1,0)+IF(I23&gt;I26,1,0)+IF(M23&gt;M26,1,0)+IF(C32&gt;C29,1,0)+IF(E32&gt;E29,1,0)+IF(K32&gt;K29,1,0)</f>
        <v>0</v>
      </c>
      <c r="C11" s="40" t="n">
        <f aca="false">N(G23)+N(I23)+N(M23)+N(C32)+N(E32)+N(K32)</f>
        <v>0</v>
      </c>
      <c r="D11" s="40" t="n">
        <f aca="false">N(G26)+N(I26)+N(M26)+N(C29)+N(E29)+N(K29)</f>
        <v>0</v>
      </c>
      <c r="E11" s="40" t="n">
        <f aca="false">C11-D11</f>
        <v>0</v>
      </c>
      <c r="F11" s="40" t="n">
        <f aca="false">RANK(B11,$B$6:$B$17)+SUMPRODUCT(($B$6:$B$17=B11)*($E$6:$E$17&gt;E11))</f>
        <v>1</v>
      </c>
      <c r="G11" s="40" t="n">
        <f aca="false">IF(N(G23)+N(G26)&gt;0,1,0)+IF(N(I23)+N(I26)&gt;0,1,0)+IF(N(M23)+N(M26)&gt;0,1,0)+IF(N(C32)+N(C29)&gt;0,1,0)+IF(N(E32)+N(E29)&gt;0,1,0)+IF(N(K32)+N(K29)&gt;0,1,0)</f>
        <v>0</v>
      </c>
    </row>
    <row r="12" customFormat="false" ht="15" hidden="false" customHeight="false" outlineLevel="0" collapsed="false">
      <c r="A12" s="39" t="s">
        <v>380</v>
      </c>
      <c r="B12" s="40" t="n">
        <f aca="false">IF(C26&gt;C23,1,0)+IF(E32&gt;E29,1,0)+IF(G32&gt;G29,1,0)+IF(I29&gt;I32,1,0)+IF(K29&gt;K32,1,0)+IF(M29&gt;M32,1,0)</f>
        <v>0</v>
      </c>
      <c r="C12" s="40" t="n">
        <f aca="false">N(C26)+N(E32)+N(G32)+N(I29)+N(K29)+N(M29)</f>
        <v>0</v>
      </c>
      <c r="D12" s="40" t="n">
        <f aca="false">N(C23)+N(E29)+N(G29)+N(I32)+N(K32)+N(M32)</f>
        <v>0</v>
      </c>
      <c r="E12" s="40" t="n">
        <f aca="false">C12-D12</f>
        <v>0</v>
      </c>
      <c r="F12" s="40" t="n">
        <f aca="false">RANK(B12,$B$6:$B$17)+SUMPRODUCT(($B$6:$B$17=B12)*($E$6:$E$17&gt;E12))</f>
        <v>1</v>
      </c>
      <c r="G12" s="40" t="n">
        <f aca="false">IF(N(C26)+N(C23)&gt;0,1,0)+IF(N(E32)+N(E29)&gt;0,1,0)+IF(N(G32)+N(G29)&gt;0,1,0)+IF(N(I29)+N(I32)&gt;0,1,0)+IF(N(K29)+N(K32)&gt;0,1,0)+IF(N(M29)+N(M32)&gt;0,1,0)</f>
        <v>0</v>
      </c>
    </row>
    <row r="13" customFormat="false" ht="15" hidden="false" customHeight="false" outlineLevel="0" collapsed="false">
      <c r="A13" s="39" t="s">
        <v>384</v>
      </c>
      <c r="B13" s="40" t="n">
        <f aca="false">IF(M26&gt;M23,1,0)+IF(E29&gt;E32,1,0)+IF(I32&gt;I29,1,0)+IF(C35&gt;C38,1,0)+IF(G35&gt;G38,1,0)+IF(K35&gt;K38,1,0)</f>
        <v>0</v>
      </c>
      <c r="C13" s="40" t="n">
        <f aca="false">N(M26)+N(E29)+N(I32)+N(C35)+N(G35)+N(K35)</f>
        <v>0</v>
      </c>
      <c r="D13" s="40" t="n">
        <f aca="false">N(M23)+N(E32)+N(I29)+N(C38)+N(G38)+N(K38)</f>
        <v>0</v>
      </c>
      <c r="E13" s="40" t="n">
        <f aca="false">C13-D13</f>
        <v>0</v>
      </c>
      <c r="F13" s="40" t="n">
        <f aca="false">RANK(B13,$B$6:$B$17)+SUMPRODUCT(($B$6:$B$17=B13)*($E$6:$E$17&gt;E13))</f>
        <v>1</v>
      </c>
      <c r="G13" s="40" t="n">
        <f aca="false">IF(N(M26)+N(M23)&gt;0,1,0)+IF(N(E29)+N(E32)&gt;0,1,0)+IF(N(I32)+N(I29)&gt;0,1,0)+IF(N(C35)+N(C38)&gt;0,1,0)+IF(N(G35)+N(G38)&gt;0,1,0)+IF(N(K35)+N(K38)&gt;0,1,0)</f>
        <v>0</v>
      </c>
    </row>
    <row r="14" customFormat="false" ht="15" hidden="false" customHeight="false" outlineLevel="0" collapsed="false">
      <c r="A14" s="39" t="s">
        <v>388</v>
      </c>
      <c r="B14" s="40" t="n">
        <f aca="false">IF(K23&gt;K26,1,0)+IF(M23&gt;M26,1,0)+IF(C38&gt;C35,1,0)+IF(E35&gt;E38,1,0)+IF(G38&gt;G35,1,0)+IF(I35&gt;I38,1,0)</f>
        <v>0</v>
      </c>
      <c r="C14" s="40" t="n">
        <f aca="false">N(K23)+N(M23)+N(C38)+N(E35)+N(G38)+N(I35)</f>
        <v>0</v>
      </c>
      <c r="D14" s="40" t="n">
        <f aca="false">N(K26)+N(M26)+N(C35)+N(E38)+N(G35)+N(I38)</f>
        <v>0</v>
      </c>
      <c r="E14" s="40" t="n">
        <f aca="false">C14-D14</f>
        <v>0</v>
      </c>
      <c r="F14" s="40" t="n">
        <f aca="false">RANK(B14,$B$6:$B$17)+SUMPRODUCT(($B$6:$B$17=B14)*($E$6:$E$17&gt;E14))</f>
        <v>1</v>
      </c>
      <c r="G14" s="40" t="n">
        <f aca="false">IF(N(K23)+N(K26)&gt;0,1,0)+IF(N(M23)+N(M26)&gt;0,1,0)+IF(N(C38)+N(C35)&gt;0,1,0)+IF(N(E35)+N(E38)&gt;0,1,0)+IF(N(G38)+N(G35)&gt;0,1,0)+IF(N(I35)+N(I38)&gt;0,1,0)</f>
        <v>0</v>
      </c>
    </row>
    <row r="15" customFormat="false" ht="15" hidden="false" customHeight="false" outlineLevel="0" collapsed="false">
      <c r="A15" s="39" t="s">
        <v>391</v>
      </c>
      <c r="B15" s="40" t="n">
        <f aca="false">IF(C23&gt;C26,1,0)+IF(E23&gt;E26,1,0)+IF(K23&gt;K26,1,0)+IF(G35&gt;G38,1,0)+IF(I38&gt;I35,1,0)+IF(M38&gt;M35,1,0)</f>
        <v>0</v>
      </c>
      <c r="C15" s="40" t="n">
        <f aca="false">N(C23)+N(E23)+N(K23)+N(G35)+N(I38)+N(M38)</f>
        <v>0</v>
      </c>
      <c r="D15" s="40" t="n">
        <f aca="false">N(C26)+N(E26)+N(K26)+N(G38)+N(I35)+N(M35)</f>
        <v>0</v>
      </c>
      <c r="E15" s="40" t="n">
        <f aca="false">C15-D15</f>
        <v>0</v>
      </c>
      <c r="F15" s="40" t="n">
        <f aca="false">RANK(B15,$B$6:$B$17)+SUMPRODUCT(($B$6:$B$17=B15)*($E$6:$E$17&gt;E15))</f>
        <v>1</v>
      </c>
      <c r="G15" s="40" t="n">
        <f aca="false">IF(N(C23)+N(C26)&gt;0,1,0)+IF(N(E23)+N(E26)&gt;0,1,0)+IF(N(K23)+N(K26)&gt;0,1,0)+IF(N(G35)+N(G38)&gt;0,1,0)+IF(N(I38)+N(I35)&gt;0,1,0)+IF(N(M38)+N(M35)&gt;0,1,0)</f>
        <v>0</v>
      </c>
    </row>
    <row r="16" customFormat="false" ht="15" hidden="false" customHeight="false" outlineLevel="0" collapsed="false">
      <c r="A16" s="39" t="s">
        <v>394</v>
      </c>
      <c r="B16" s="40" t="n">
        <f aca="false">IF(G23&gt;G26,1,0)+IF(I26&gt;I23,1,0)+IF(K26&gt;K23,1,0)+IF(M26&gt;M23,1,0)+IF(C29&gt;C32,1,0)+IF(E35&gt;E38,1,0)</f>
        <v>0</v>
      </c>
      <c r="C16" s="40" t="n">
        <f aca="false">N(G23)+N(I26)+N(K26)+N(M26)+N(C29)+N(E35)</f>
        <v>0</v>
      </c>
      <c r="D16" s="40" t="n">
        <f aca="false">N(G26)+N(I23)+N(K23)+N(M23)+N(C32)+N(E38)</f>
        <v>0</v>
      </c>
      <c r="E16" s="40" t="n">
        <f aca="false">C16-D16</f>
        <v>0</v>
      </c>
      <c r="F16" s="40" t="n">
        <f aca="false">RANK(B16,$B$6:$B$17)+SUMPRODUCT(($B$6:$B$17=B16)*($E$6:$E$17&gt;E16))</f>
        <v>1</v>
      </c>
      <c r="G16" s="40" t="n">
        <f aca="false">IF(N(G23)+N(G26)&gt;0,1,0)+IF(N(I26)+N(I23)&gt;0,1,0)+IF(N(K26)+N(K23)&gt;0,1,0)+IF(N(M26)+N(M23)&gt;0,1,0)+IF(N(C29)+N(C32)&gt;0,1,0)+IF(N(E35)+N(E38)&gt;0,1,0)</f>
        <v>0</v>
      </c>
    </row>
    <row r="17" customFormat="false" ht="15" hidden="false" customHeight="false" outlineLevel="0" collapsed="false">
      <c r="A17" s="39" t="s">
        <v>397</v>
      </c>
      <c r="B17" s="40" t="n">
        <f aca="false">IF(C23&gt;C26,1,0)+IF(I32&gt;I29,1,0)+IF(K29&gt;K32,1,0)+IF(E38&gt;E35,1,0)+IF(G38&gt;G35,1,0)+IF(M35&gt;M38,1,0)</f>
        <v>0</v>
      </c>
      <c r="C17" s="40" t="n">
        <f aca="false">N(C23)+N(I32)+N(K29)+N(E38)+N(G38)+N(M35)</f>
        <v>0</v>
      </c>
      <c r="D17" s="40" t="n">
        <f aca="false">N(C26)+N(I29)+N(K32)+N(E35)+N(G35)+N(M38)</f>
        <v>0</v>
      </c>
      <c r="E17" s="40" t="n">
        <f aca="false">C17-D17</f>
        <v>0</v>
      </c>
      <c r="F17" s="40" t="n">
        <f aca="false">RANK(B17,$B$6:$B$17)+SUMPRODUCT(($B$6:$B$17=B17)*($E$6:$E$17&gt;E17))</f>
        <v>1</v>
      </c>
      <c r="G17" s="40" t="n">
        <f aca="false">IF(N(C23)+N(C26)&gt;0,1,0)+IF(N(I32)+N(I29)&gt;0,1,0)+IF(N(K29)+N(K32)&gt;0,1,0)+IF(N(E38)+N(E35)&gt;0,1,0)+IF(N(G38)+N(G35)&gt;0,1,0)+IF(N(M35)+N(M38)&gt;0,1,0)</f>
        <v>0</v>
      </c>
    </row>
    <row r="19" customFormat="false" ht="15" hidden="false" customHeight="true" outlineLevel="0" collapsed="false">
      <c r="A19" s="18" t="s">
        <v>358</v>
      </c>
      <c r="B19" s="18"/>
      <c r="C19" s="18"/>
      <c r="D19" s="18"/>
      <c r="E19" s="18"/>
      <c r="F19" s="18"/>
      <c r="G19" s="18"/>
      <c r="H19" s="18"/>
      <c r="I19" s="18"/>
      <c r="J19" s="18"/>
      <c r="K19" s="18"/>
      <c r="L19" s="18"/>
      <c r="M19" s="18"/>
    </row>
    <row r="20" customFormat="false" ht="21.75" hidden="false" customHeight="true" outlineLevel="0" collapsed="false">
      <c r="A20" s="38" t="s">
        <v>359</v>
      </c>
      <c r="B20" s="41" t="s">
        <v>360</v>
      </c>
      <c r="C20" s="41"/>
      <c r="D20" s="41" t="s">
        <v>361</v>
      </c>
      <c r="E20" s="41"/>
      <c r="F20" s="41" t="s">
        <v>362</v>
      </c>
      <c r="G20" s="41"/>
      <c r="H20" s="41" t="s">
        <v>363</v>
      </c>
      <c r="I20" s="41"/>
      <c r="J20" s="41" t="s">
        <v>364</v>
      </c>
      <c r="K20" s="41"/>
      <c r="L20" s="41" t="s">
        <v>365</v>
      </c>
      <c r="M20" s="41"/>
    </row>
    <row r="21" customFormat="false" ht="21.75" hidden="false" customHeight="true" outlineLevel="0" collapsed="false">
      <c r="A21" s="42" t="s">
        <v>366</v>
      </c>
    </row>
    <row r="22" customFormat="false" ht="21.75" hidden="false" customHeight="true" outlineLevel="0" collapsed="false">
      <c r="A22" s="43" t="s">
        <v>367</v>
      </c>
      <c r="B22" s="29" t="str">
        <f aca="false">A15</f>
        <v>Player 10</v>
      </c>
      <c r="C22" s="44"/>
      <c r="D22" s="29" t="str">
        <f aca="false">A15</f>
        <v>Player 10</v>
      </c>
      <c r="E22" s="44"/>
      <c r="F22" s="29" t="str">
        <f aca="false">A16</f>
        <v>Player 11</v>
      </c>
      <c r="G22" s="44"/>
      <c r="H22" s="29" t="str">
        <f aca="false">A11</f>
        <v>Player 6</v>
      </c>
      <c r="I22" s="44"/>
      <c r="J22" s="29" t="str">
        <f aca="false">A15</f>
        <v>Player 10</v>
      </c>
      <c r="K22" s="44"/>
      <c r="L22" s="29" t="str">
        <f aca="false">A14</f>
        <v>Player 9</v>
      </c>
      <c r="M22" s="44"/>
    </row>
    <row r="23" customFormat="false" ht="21.75" hidden="false" customHeight="true" outlineLevel="0" collapsed="false">
      <c r="A23" s="45"/>
      <c r="B23" s="29" t="str">
        <f aca="false">A17</f>
        <v>Player 12</v>
      </c>
      <c r="C23" s="46"/>
      <c r="D23" s="29" t="str">
        <f aca="false">A8</f>
        <v>Player 3</v>
      </c>
      <c r="E23" s="46"/>
      <c r="F23" s="29" t="str">
        <f aca="false">A11</f>
        <v>Player 6</v>
      </c>
      <c r="G23" s="46"/>
      <c r="H23" s="29" t="str">
        <f aca="false">A6</f>
        <v>Player 1</v>
      </c>
      <c r="I23" s="46"/>
      <c r="J23" s="29" t="str">
        <f aca="false">A14</f>
        <v>Player 9</v>
      </c>
      <c r="K23" s="46"/>
      <c r="L23" s="29" t="str">
        <f aca="false">A11</f>
        <v>Player 6</v>
      </c>
      <c r="M23" s="46"/>
    </row>
    <row r="24" customFormat="false" ht="18" hidden="false" customHeight="true" outlineLevel="0" collapsed="false">
      <c r="A24" s="47" t="s">
        <v>368</v>
      </c>
      <c r="B24" s="47" t="s">
        <v>369</v>
      </c>
      <c r="C24" s="44"/>
      <c r="D24" s="47" t="s">
        <v>369</v>
      </c>
      <c r="E24" s="44"/>
      <c r="F24" s="47" t="s">
        <v>369</v>
      </c>
      <c r="G24" s="44"/>
      <c r="H24" s="47" t="s">
        <v>369</v>
      </c>
      <c r="I24" s="44"/>
      <c r="J24" s="47" t="s">
        <v>369</v>
      </c>
      <c r="K24" s="44"/>
      <c r="L24" s="47" t="s">
        <v>369</v>
      </c>
      <c r="M24" s="44"/>
    </row>
    <row r="25" customFormat="false" ht="21.75" hidden="false" customHeight="true" outlineLevel="0" collapsed="false">
      <c r="A25" s="43" t="s">
        <v>370</v>
      </c>
      <c r="B25" s="29" t="str">
        <f aca="false">A12</f>
        <v>Player 7</v>
      </c>
      <c r="C25" s="44"/>
      <c r="D25" s="29" t="str">
        <f aca="false">A7</f>
        <v>Player 2</v>
      </c>
      <c r="E25" s="44"/>
      <c r="F25" s="29" t="str">
        <f aca="false">A10</f>
        <v>Player 5</v>
      </c>
      <c r="G25" s="44"/>
      <c r="H25" s="29" t="str">
        <f aca="false">A9</f>
        <v>Player 4</v>
      </c>
      <c r="I25" s="44"/>
      <c r="J25" s="29" t="str">
        <f aca="false">A16</f>
        <v>Player 11</v>
      </c>
      <c r="K25" s="44"/>
      <c r="L25" s="29" t="str">
        <f aca="false">A16</f>
        <v>Player 11</v>
      </c>
      <c r="M25" s="44"/>
    </row>
    <row r="26" customFormat="false" ht="21.75" hidden="false" customHeight="true" outlineLevel="0" collapsed="false">
      <c r="A26" s="45"/>
      <c r="B26" s="29" t="str">
        <f aca="false">A6</f>
        <v>Player 1</v>
      </c>
      <c r="C26" s="46"/>
      <c r="D26" s="29" t="str">
        <f aca="false">A9</f>
        <v>Player 4</v>
      </c>
      <c r="E26" s="46"/>
      <c r="F26" s="29" t="str">
        <f aca="false">A6</f>
        <v>Player 1</v>
      </c>
      <c r="G26" s="46"/>
      <c r="H26" s="29" t="str">
        <f aca="false">A16</f>
        <v>Player 11</v>
      </c>
      <c r="I26" s="46"/>
      <c r="J26" s="29" t="str">
        <f aca="false">A6</f>
        <v>Player 1</v>
      </c>
      <c r="K26" s="46"/>
      <c r="L26" s="29" t="str">
        <f aca="false">A13</f>
        <v>Player 8</v>
      </c>
      <c r="M26" s="46"/>
    </row>
    <row r="27" customFormat="false" ht="21.75" hidden="false" customHeight="true" outlineLevel="0" collapsed="false">
      <c r="A27" s="42" t="s">
        <v>385</v>
      </c>
    </row>
    <row r="28" customFormat="false" ht="21.75" hidden="false" customHeight="true" outlineLevel="0" collapsed="false">
      <c r="A28" s="43" t="s">
        <v>367</v>
      </c>
      <c r="B28" s="29" t="str">
        <f aca="false">A16</f>
        <v>Player 11</v>
      </c>
      <c r="C28" s="44"/>
      <c r="D28" s="29" t="str">
        <f aca="false">A13</f>
        <v>Player 8</v>
      </c>
      <c r="E28" s="44"/>
      <c r="F28" s="29" t="str">
        <f aca="false">A9</f>
        <v>Player 4</v>
      </c>
      <c r="G28" s="44"/>
      <c r="H28" s="29" t="str">
        <f aca="false">A8</f>
        <v>Player 3</v>
      </c>
      <c r="I28" s="44"/>
      <c r="J28" s="29" t="str">
        <f aca="false">A12</f>
        <v>Player 7</v>
      </c>
      <c r="K28" s="44"/>
      <c r="L28" s="29" t="str">
        <f aca="false">A10</f>
        <v>Player 5</v>
      </c>
      <c r="M28" s="44"/>
    </row>
    <row r="29" customFormat="false" ht="21.75" hidden="false" customHeight="true" outlineLevel="0" collapsed="false">
      <c r="A29" s="45"/>
      <c r="B29" s="29" t="str">
        <f aca="false">A7</f>
        <v>Player 2</v>
      </c>
      <c r="C29" s="46"/>
      <c r="D29" s="29" t="str">
        <f aca="false">A6</f>
        <v>Player 1</v>
      </c>
      <c r="E29" s="46"/>
      <c r="F29" s="29" t="str">
        <f aca="false">A8</f>
        <v>Player 3</v>
      </c>
      <c r="G29" s="46"/>
      <c r="H29" s="29" t="str">
        <f aca="false">A12</f>
        <v>Player 7</v>
      </c>
      <c r="I29" s="46"/>
      <c r="J29" s="29" t="str">
        <f aca="false">A17</f>
        <v>Player 12</v>
      </c>
      <c r="K29" s="46"/>
      <c r="L29" s="29" t="str">
        <f aca="false">A12</f>
        <v>Player 7</v>
      </c>
      <c r="M29" s="46"/>
    </row>
    <row r="30" customFormat="false" ht="18" hidden="false" customHeight="true" outlineLevel="0" collapsed="false">
      <c r="A30" s="47" t="s">
        <v>368</v>
      </c>
      <c r="B30" s="47" t="s">
        <v>369</v>
      </c>
      <c r="C30" s="44"/>
      <c r="D30" s="47" t="s">
        <v>369</v>
      </c>
      <c r="E30" s="44"/>
      <c r="F30" s="47" t="s">
        <v>369</v>
      </c>
      <c r="G30" s="44"/>
      <c r="H30" s="47" t="s">
        <v>369</v>
      </c>
      <c r="I30" s="44"/>
      <c r="J30" s="47" t="s">
        <v>369</v>
      </c>
      <c r="K30" s="44"/>
      <c r="L30" s="47" t="s">
        <v>369</v>
      </c>
      <c r="M30" s="44"/>
    </row>
    <row r="31" customFormat="false" ht="21.75" hidden="false" customHeight="true" outlineLevel="0" collapsed="false">
      <c r="A31" s="43" t="s">
        <v>370</v>
      </c>
      <c r="B31" s="29" t="str">
        <f aca="false">A9</f>
        <v>Player 4</v>
      </c>
      <c r="C31" s="44"/>
      <c r="D31" s="29" t="str">
        <f aca="false">A11</f>
        <v>Player 6</v>
      </c>
      <c r="E31" s="44"/>
      <c r="F31" s="29" t="str">
        <f aca="false">A7</f>
        <v>Player 2</v>
      </c>
      <c r="G31" s="44"/>
      <c r="H31" s="29" t="str">
        <f aca="false">A13</f>
        <v>Player 8</v>
      </c>
      <c r="I31" s="44"/>
      <c r="J31" s="29" t="str">
        <f aca="false">A7</f>
        <v>Player 2</v>
      </c>
      <c r="K31" s="44"/>
      <c r="L31" s="29" t="str">
        <f aca="false">A6</f>
        <v>Player 1</v>
      </c>
      <c r="M31" s="44"/>
    </row>
    <row r="32" customFormat="false" ht="21.75" hidden="false" customHeight="true" outlineLevel="0" collapsed="false">
      <c r="A32" s="45"/>
      <c r="B32" s="29" t="str">
        <f aca="false">A11</f>
        <v>Player 6</v>
      </c>
      <c r="C32" s="46"/>
      <c r="D32" s="29" t="str">
        <f aca="false">A12</f>
        <v>Player 7</v>
      </c>
      <c r="E32" s="46"/>
      <c r="F32" s="29" t="str">
        <f aca="false">A12</f>
        <v>Player 7</v>
      </c>
      <c r="G32" s="46"/>
      <c r="H32" s="29" t="str">
        <f aca="false">A17</f>
        <v>Player 12</v>
      </c>
      <c r="I32" s="46"/>
      <c r="J32" s="29" t="str">
        <f aca="false">A11</f>
        <v>Player 6</v>
      </c>
      <c r="K32" s="46"/>
      <c r="L32" s="29" t="str">
        <f aca="false">A7</f>
        <v>Player 2</v>
      </c>
      <c r="M32" s="46"/>
    </row>
    <row r="33" customFormat="false" ht="21.75" hidden="false" customHeight="true" outlineLevel="0" collapsed="false">
      <c r="A33" s="42" t="s">
        <v>398</v>
      </c>
    </row>
    <row r="34" customFormat="false" ht="21.75" hidden="false" customHeight="true" outlineLevel="0" collapsed="false">
      <c r="A34" s="43" t="s">
        <v>367</v>
      </c>
      <c r="B34" s="29" t="str">
        <f aca="false">A13</f>
        <v>Player 8</v>
      </c>
      <c r="C34" s="44"/>
      <c r="D34" s="29" t="str">
        <f aca="false">A16</f>
        <v>Player 11</v>
      </c>
      <c r="E34" s="44"/>
      <c r="F34" s="29" t="str">
        <f aca="false">A13</f>
        <v>Player 8</v>
      </c>
      <c r="G34" s="44"/>
      <c r="H34" s="29" t="str">
        <f aca="false">A14</f>
        <v>Player 9</v>
      </c>
      <c r="I34" s="44"/>
      <c r="J34" s="29" t="str">
        <f aca="false">A13</f>
        <v>Player 8</v>
      </c>
      <c r="K34" s="44"/>
      <c r="L34" s="29" t="str">
        <f aca="false">A17</f>
        <v>Player 12</v>
      </c>
      <c r="M34" s="44"/>
    </row>
    <row r="35" customFormat="false" ht="21.75" hidden="false" customHeight="true" outlineLevel="0" collapsed="false">
      <c r="A35" s="45"/>
      <c r="B35" s="29" t="str">
        <f aca="false">A8</f>
        <v>Player 3</v>
      </c>
      <c r="C35" s="46"/>
      <c r="D35" s="29" t="str">
        <f aca="false">A14</f>
        <v>Player 9</v>
      </c>
      <c r="E35" s="46"/>
      <c r="F35" s="29" t="str">
        <f aca="false">A15</f>
        <v>Player 10</v>
      </c>
      <c r="G35" s="46"/>
      <c r="H35" s="29" t="str">
        <f aca="false">A7</f>
        <v>Player 2</v>
      </c>
      <c r="I35" s="46"/>
      <c r="J35" s="29" t="str">
        <f aca="false">A9</f>
        <v>Player 4</v>
      </c>
      <c r="K35" s="46"/>
      <c r="L35" s="29" t="str">
        <f aca="false">A8</f>
        <v>Player 3</v>
      </c>
      <c r="M35" s="46"/>
    </row>
    <row r="36" customFormat="false" ht="18" hidden="false" customHeight="true" outlineLevel="0" collapsed="false">
      <c r="A36" s="47" t="s">
        <v>368</v>
      </c>
      <c r="B36" s="47" t="s">
        <v>369</v>
      </c>
      <c r="C36" s="44"/>
      <c r="D36" s="47" t="s">
        <v>369</v>
      </c>
      <c r="E36" s="44"/>
      <c r="F36" s="47" t="s">
        <v>369</v>
      </c>
      <c r="G36" s="44"/>
      <c r="H36" s="47" t="s">
        <v>369</v>
      </c>
      <c r="I36" s="44"/>
      <c r="J36" s="47" t="s">
        <v>369</v>
      </c>
      <c r="K36" s="44"/>
      <c r="L36" s="47" t="s">
        <v>369</v>
      </c>
      <c r="M36" s="44"/>
    </row>
    <row r="37" customFormat="false" ht="21.75" hidden="false" customHeight="true" outlineLevel="0" collapsed="false">
      <c r="A37" s="43" t="s">
        <v>370</v>
      </c>
      <c r="B37" s="29" t="str">
        <f aca="false">A10</f>
        <v>Player 5</v>
      </c>
      <c r="C37" s="44"/>
      <c r="D37" s="29" t="str">
        <f aca="false">A17</f>
        <v>Player 12</v>
      </c>
      <c r="E37" s="44"/>
      <c r="F37" s="29" t="str">
        <f aca="false">A14</f>
        <v>Player 9</v>
      </c>
      <c r="G37" s="44"/>
      <c r="H37" s="29" t="str">
        <f aca="false">A15</f>
        <v>Player 10</v>
      </c>
      <c r="I37" s="44"/>
      <c r="J37" s="29" t="str">
        <f aca="false">A8</f>
        <v>Player 3</v>
      </c>
      <c r="K37" s="44"/>
      <c r="L37" s="29" t="str">
        <f aca="false">A9</f>
        <v>Player 4</v>
      </c>
      <c r="M37" s="44"/>
    </row>
    <row r="38" customFormat="false" ht="21.75" hidden="false" customHeight="true" outlineLevel="0" collapsed="false">
      <c r="A38" s="45"/>
      <c r="B38" s="29" t="str">
        <f aca="false">A14</f>
        <v>Player 9</v>
      </c>
      <c r="C38" s="46"/>
      <c r="D38" s="29" t="str">
        <f aca="false">A10</f>
        <v>Player 5</v>
      </c>
      <c r="E38" s="46"/>
      <c r="F38" s="29" t="str">
        <f aca="false">A17</f>
        <v>Player 12</v>
      </c>
      <c r="G38" s="46"/>
      <c r="H38" s="29" t="str">
        <f aca="false">A10</f>
        <v>Player 5</v>
      </c>
      <c r="I38" s="46"/>
      <c r="J38" s="29" t="str">
        <f aca="false">A10</f>
        <v>Player 5</v>
      </c>
      <c r="K38" s="46"/>
      <c r="L38" s="29" t="str">
        <f aca="false">A15</f>
        <v>Player 10</v>
      </c>
      <c r="M38" s="46"/>
    </row>
  </sheetData>
  <mergeCells count="10">
    <mergeCell ref="A1:M1"/>
    <mergeCell ref="A2:M2"/>
    <mergeCell ref="A4:G4"/>
    <mergeCell ref="A19:M19"/>
    <mergeCell ref="B20:C20"/>
    <mergeCell ref="D20:E20"/>
    <mergeCell ref="F20:G20"/>
    <mergeCell ref="H20:I20"/>
    <mergeCell ref="J20:K20"/>
    <mergeCell ref="L20:M2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4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9" topLeftCell="A20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12"/>
    <col collapsed="false" customWidth="true" hidden="false" outlineLevel="0" max="3" min="3" style="0" width="7"/>
    <col collapsed="false" customWidth="true" hidden="false" outlineLevel="0" max="4" min="4" style="0" width="12"/>
    <col collapsed="false" customWidth="true" hidden="false" outlineLevel="0" max="5" min="5" style="0" width="7"/>
    <col collapsed="false" customWidth="true" hidden="false" outlineLevel="0" max="6" min="6" style="0" width="12"/>
    <col collapsed="false" customWidth="true" hidden="false" outlineLevel="0" max="7" min="7" style="0" width="7"/>
    <col collapsed="false" customWidth="true" hidden="false" outlineLevel="0" max="8" min="8" style="0" width="12"/>
    <col collapsed="false" customWidth="true" hidden="false" outlineLevel="0" max="9" min="9" style="0" width="7"/>
    <col collapsed="false" customWidth="true" hidden="false" outlineLevel="0" max="10" min="10" style="0" width="12"/>
    <col collapsed="false" customWidth="true" hidden="false" outlineLevel="0" max="11" min="11" style="0" width="7"/>
    <col collapsed="false" customWidth="true" hidden="false" outlineLevel="0" max="12" min="12" style="0" width="12"/>
    <col collapsed="false" customWidth="true" hidden="false" outlineLevel="0" max="13" min="13" style="0" width="7"/>
  </cols>
  <sheetData>
    <row r="1" customFormat="false" ht="22.05" hidden="false" customHeight="false" outlineLevel="0" collapsed="false">
      <c r="A1" s="36" t="s">
        <v>399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</row>
    <row r="2" customFormat="false" ht="15" hidden="false" customHeight="false" outlineLevel="0" collapsed="false">
      <c r="A2" s="37" t="s">
        <v>400</v>
      </c>
      <c r="B2" s="37"/>
      <c r="C2" s="37"/>
      <c r="D2" s="37"/>
      <c r="E2" s="37"/>
      <c r="F2" s="37"/>
      <c r="G2" s="37"/>
      <c r="H2" s="37"/>
      <c r="I2" s="37"/>
      <c r="J2" s="37"/>
      <c r="K2" s="37"/>
      <c r="L2" s="37"/>
      <c r="M2" s="37"/>
    </row>
    <row r="4" customFormat="false" ht="15" hidden="false" customHeight="true" outlineLevel="0" collapsed="false">
      <c r="A4" s="18" t="s">
        <v>346</v>
      </c>
      <c r="B4" s="18"/>
      <c r="C4" s="18"/>
      <c r="D4" s="18"/>
      <c r="E4" s="18"/>
      <c r="F4" s="18"/>
      <c r="G4" s="18"/>
    </row>
    <row r="5" customFormat="false" ht="21.75" hidden="false" customHeight="true" outlineLevel="0" collapsed="false">
      <c r="A5" s="38" t="s">
        <v>347</v>
      </c>
      <c r="B5" s="38" t="s">
        <v>348</v>
      </c>
      <c r="C5" s="38" t="s">
        <v>349</v>
      </c>
      <c r="D5" s="38" t="s">
        <v>350</v>
      </c>
      <c r="E5" s="38" t="s">
        <v>351</v>
      </c>
      <c r="F5" s="38" t="s">
        <v>352</v>
      </c>
      <c r="G5" s="38" t="s">
        <v>353</v>
      </c>
    </row>
    <row r="6" customFormat="false" ht="15" hidden="false" customHeight="false" outlineLevel="0" collapsed="false">
      <c r="A6" s="39" t="s">
        <v>354</v>
      </c>
      <c r="B6" s="40" t="n">
        <f aca="false">IF(K27&gt;K24,1,0)+IF(M27&gt;M24,1,0)+IF(I33&gt;I30,1,0)+IF(C36&gt;C39,1,0)+IF(E36&gt;E39,1,0)+IF(G36&gt;G39,1,0)</f>
        <v>0</v>
      </c>
      <c r="C6" s="40" t="n">
        <f aca="false">N(K27)+N(M27)+N(I33)+N(C36)+N(E36)+N(G36)</f>
        <v>0</v>
      </c>
      <c r="D6" s="40" t="n">
        <f aca="false">N(K24)+N(M24)+N(I30)+N(C39)+N(E39)+N(G39)</f>
        <v>0</v>
      </c>
      <c r="E6" s="40" t="n">
        <f aca="false">C6-D6</f>
        <v>0</v>
      </c>
      <c r="F6" s="40" t="n">
        <f aca="false">RANK(B6,$B$6:$B$18)+SUMPRODUCT(($B$6:$B$18=B6)*($E$6:$E$18&gt;E6))</f>
        <v>1</v>
      </c>
      <c r="G6" s="40" t="n">
        <f aca="false">IF(N(K27)+N(K24)&gt;0,1,0)+IF(N(M27)+N(M24)&gt;0,1,0)+IF(N(I33)+N(I30)&gt;0,1,0)+IF(N(C36)+N(C39)&gt;0,1,0)+IF(N(E36)+N(E39)&gt;0,1,0)+IF(N(G36)+N(G39)&gt;0,1,0)</f>
        <v>0</v>
      </c>
    </row>
    <row r="7" customFormat="false" ht="15" hidden="false" customHeight="false" outlineLevel="0" collapsed="false">
      <c r="A7" s="39" t="s">
        <v>355</v>
      </c>
      <c r="B7" s="40" t="n">
        <f aca="false">IF(C27&gt;C24,1,0)+IF(E24&gt;E27,1,0)+IF(M27&gt;M24,1,0)+IF(I30&gt;I33,1,0)+IF(K33&gt;K30,1,0)+IF(G39&gt;G36,1,0)</f>
        <v>0</v>
      </c>
      <c r="C7" s="40" t="n">
        <f aca="false">N(C27)+N(E24)+N(M27)+N(I30)+N(K33)+N(G39)</f>
        <v>0</v>
      </c>
      <c r="D7" s="40" t="n">
        <f aca="false">N(C24)+N(E27)+N(M24)+N(I33)+N(K30)+N(G36)</f>
        <v>0</v>
      </c>
      <c r="E7" s="40" t="n">
        <f aca="false">C7-D7</f>
        <v>0</v>
      </c>
      <c r="F7" s="40" t="n">
        <f aca="false">RANK(B7,$B$6:$B$18)+SUMPRODUCT(($B$6:$B$18=B7)*($E$6:$E$18&gt;E7))</f>
        <v>1</v>
      </c>
      <c r="G7" s="40" t="n">
        <f aca="false">IF(N(C27)+N(C24)&gt;0,1,0)+IF(N(E24)+N(E27)&gt;0,1,0)+IF(N(M27)+N(M24)&gt;0,1,0)+IF(N(I30)+N(I33)&gt;0,1,0)+IF(N(K33)+N(K30)&gt;0,1,0)+IF(N(G39)+N(G36)&gt;0,1,0)</f>
        <v>0</v>
      </c>
    </row>
    <row r="8" customFormat="false" ht="15" hidden="false" customHeight="false" outlineLevel="0" collapsed="false">
      <c r="A8" s="39" t="s">
        <v>356</v>
      </c>
      <c r="B8" s="40" t="n">
        <f aca="false">IF(E24&gt;E27,1,0)+IF(G27&gt;G24,1,0)+IF(I27&gt;I24,1,0)+IF(K27&gt;K24,1,0)+IF(M24&gt;M27,1,0)+IF(C30&gt;C33,1,0)</f>
        <v>0</v>
      </c>
      <c r="C8" s="40" t="n">
        <f aca="false">N(E24)+N(G27)+N(I27)+N(K27)+N(M24)+N(C30)</f>
        <v>0</v>
      </c>
      <c r="D8" s="40" t="n">
        <f aca="false">N(E27)+N(G24)+N(I24)+N(K24)+N(M27)+N(C33)</f>
        <v>0</v>
      </c>
      <c r="E8" s="40" t="n">
        <f aca="false">C8-D8</f>
        <v>0</v>
      </c>
      <c r="F8" s="40" t="n">
        <f aca="false">RANK(B8,$B$6:$B$18)+SUMPRODUCT(($B$6:$B$18=B8)*($E$6:$E$18&gt;E8))</f>
        <v>1</v>
      </c>
      <c r="G8" s="40" t="n">
        <f aca="false">IF(N(E24)+N(E27)&gt;0,1,0)+IF(N(G27)+N(G24)&gt;0,1,0)+IF(N(I27)+N(I24)&gt;0,1,0)+IF(N(K27)+N(K24)&gt;0,1,0)+IF(N(M24)+N(M27)&gt;0,1,0)+IF(N(C30)+N(C33)&gt;0,1,0)</f>
        <v>0</v>
      </c>
    </row>
    <row r="9" customFormat="false" ht="15" hidden="false" customHeight="false" outlineLevel="0" collapsed="false">
      <c r="A9" s="39" t="s">
        <v>357</v>
      </c>
      <c r="B9" s="40" t="n">
        <f aca="false">IF(I27&gt;I24,1,0)+IF(K24&gt;K27,1,0)+IF(E33&gt;E30,1,0)+IF(G30&gt;G33,1,0)+IF(C36&gt;C39,1,0)+IF(M39&gt;M36,1,0)</f>
        <v>0</v>
      </c>
      <c r="C9" s="40" t="n">
        <f aca="false">N(I27)+N(K24)+N(E33)+N(G30)+N(C36)+N(M39)</f>
        <v>0</v>
      </c>
      <c r="D9" s="40" t="n">
        <f aca="false">N(I24)+N(K27)+N(E30)+N(G33)+N(C39)+N(M36)</f>
        <v>0</v>
      </c>
      <c r="E9" s="40" t="n">
        <f aca="false">C9-D9</f>
        <v>0</v>
      </c>
      <c r="F9" s="40" t="n">
        <f aca="false">RANK(B9,$B$6:$B$18)+SUMPRODUCT(($B$6:$B$18=B9)*($E$6:$E$18&gt;E9))</f>
        <v>1</v>
      </c>
      <c r="G9" s="40" t="n">
        <f aca="false">IF(N(I27)+N(I24)&gt;0,1,0)+IF(N(K24)+N(K27)&gt;0,1,0)+IF(N(E33)+N(E30)&gt;0,1,0)+IF(N(G30)+N(G33)&gt;0,1,0)+IF(N(C36)+N(C39)&gt;0,1,0)+IF(N(M39)+N(M36)&gt;0,1,0)</f>
        <v>0</v>
      </c>
    </row>
    <row r="10" customFormat="false" ht="15" hidden="false" customHeight="false" outlineLevel="0" collapsed="false">
      <c r="A10" s="39" t="s">
        <v>373</v>
      </c>
      <c r="B10" s="40" t="n">
        <f aca="false">IF(E27&gt;E24,1,0)+IF(G27&gt;G24,1,0)+IF(K24&gt;K27,1,0)+IF(M30&gt;M33,1,0)+IF(C39&gt;C36,1,0)+IF(I36&gt;I39,1,0)</f>
        <v>0</v>
      </c>
      <c r="C10" s="40" t="n">
        <f aca="false">N(E27)+N(G27)+N(K24)+N(M30)+N(C39)+N(I36)</f>
        <v>0</v>
      </c>
      <c r="D10" s="40" t="n">
        <f aca="false">N(E24)+N(G24)+N(K27)+N(M33)+N(C36)+N(I39)</f>
        <v>0</v>
      </c>
      <c r="E10" s="40" t="n">
        <f aca="false">C10-D10</f>
        <v>0</v>
      </c>
      <c r="F10" s="40" t="n">
        <f aca="false">RANK(B10,$B$6:$B$18)+SUMPRODUCT(($B$6:$B$18=B10)*($E$6:$E$18&gt;E10))</f>
        <v>1</v>
      </c>
      <c r="G10" s="40" t="n">
        <f aca="false">IF(N(E27)+N(E24)&gt;0,1,0)+IF(N(G27)+N(G24)&gt;0,1,0)+IF(N(K24)+N(K27)&gt;0,1,0)+IF(N(M30)+N(M33)&gt;0,1,0)+IF(N(C39)+N(C36)&gt;0,1,0)+IF(N(I36)+N(I39)&gt;0,1,0)</f>
        <v>0</v>
      </c>
    </row>
    <row r="11" customFormat="false" ht="15" hidden="false" customHeight="false" outlineLevel="0" collapsed="false">
      <c r="A11" s="39" t="s">
        <v>377</v>
      </c>
      <c r="B11" s="40" t="n">
        <f aca="false">IF(E27&gt;E24,1,0)+IF(G24&gt;G27,1,0)+IF(C30&gt;C33,1,0)+IF(K30&gt;K33,1,0)+IF(I39&gt;I36,1,0)+IF(M39&gt;M36,1,0)</f>
        <v>0</v>
      </c>
      <c r="C11" s="40" t="n">
        <f aca="false">N(E27)+N(G24)+N(C30)+N(K30)+N(I39)+N(M39)</f>
        <v>0</v>
      </c>
      <c r="D11" s="40" t="n">
        <f aca="false">N(E24)+N(G27)+N(C33)+N(K33)+N(I36)+N(M36)</f>
        <v>0</v>
      </c>
      <c r="E11" s="40" t="n">
        <f aca="false">C11-D11</f>
        <v>0</v>
      </c>
      <c r="F11" s="40" t="n">
        <f aca="false">RANK(B11,$B$6:$B$18)+SUMPRODUCT(($B$6:$B$18=B11)*($E$6:$E$18&gt;E11))</f>
        <v>1</v>
      </c>
      <c r="G11" s="40" t="n">
        <f aca="false">IF(N(E27)+N(E24)&gt;0,1,0)+IF(N(G24)+N(G27)&gt;0,1,0)+IF(N(C30)+N(C33)&gt;0,1,0)+IF(N(K30)+N(K33)&gt;0,1,0)+IF(N(I39)+N(I36)&gt;0,1,0)+IF(N(M39)+N(M36)&gt;0,1,0)</f>
        <v>0</v>
      </c>
    </row>
    <row r="12" customFormat="false" ht="15" hidden="false" customHeight="false" outlineLevel="0" collapsed="false">
      <c r="A12" s="39" t="s">
        <v>380</v>
      </c>
      <c r="B12" s="40" t="n">
        <f aca="false">IF(C27&gt;C24,1,0)+IF(G33&gt;G30,1,0)+IF(I33&gt;I30,1,0)+IF(K30&gt;K33,1,0)+IF(E39&gt;E36,1,0)+IF(M36&gt;M39,1,0)</f>
        <v>0</v>
      </c>
      <c r="C12" s="40" t="n">
        <f aca="false">N(C27)+N(G33)+N(I33)+N(K30)+N(E39)+N(M36)</f>
        <v>0</v>
      </c>
      <c r="D12" s="40" t="n">
        <f aca="false">N(C24)+N(G30)+N(I30)+N(K33)+N(E36)+N(M39)</f>
        <v>0</v>
      </c>
      <c r="E12" s="40" t="n">
        <f aca="false">C12-D12</f>
        <v>0</v>
      </c>
      <c r="F12" s="40" t="n">
        <f aca="false">RANK(B12,$B$6:$B$18)+SUMPRODUCT(($B$6:$B$18=B12)*($E$6:$E$18&gt;E12))</f>
        <v>1</v>
      </c>
      <c r="G12" s="40" t="n">
        <f aca="false">IF(N(C27)+N(C24)&gt;0,1,0)+IF(N(G33)+N(G30)&gt;0,1,0)+IF(N(I33)+N(I30)&gt;0,1,0)+IF(N(K30)+N(K33)&gt;0,1,0)+IF(N(E39)+N(E36)&gt;0,1,0)+IF(N(M36)+N(M39)&gt;0,1,0)</f>
        <v>0</v>
      </c>
    </row>
    <row r="13" customFormat="false" ht="15" hidden="false" customHeight="false" outlineLevel="0" collapsed="false">
      <c r="A13" s="39" t="s">
        <v>384</v>
      </c>
      <c r="B13" s="40" t="n">
        <f aca="false">IF(C24&gt;C27,1,0)+IF(I24&gt;I27,1,0)+IF(K33&gt;K30,1,0)+IF(E39&gt;E36,1,0)+IF(G36&gt;G39,1,0)</f>
        <v>0</v>
      </c>
      <c r="C13" s="40" t="n">
        <f aca="false">N(C24)+N(I24)+N(K33)+N(E39)+N(G36)</f>
        <v>0</v>
      </c>
      <c r="D13" s="40" t="n">
        <f aca="false">N(C27)+N(I27)+N(K30)+N(E36)+N(G39)</f>
        <v>0</v>
      </c>
      <c r="E13" s="40" t="n">
        <f aca="false">C13-D13</f>
        <v>0</v>
      </c>
      <c r="F13" s="40" t="n">
        <f aca="false">RANK(B13,$B$6:$B$18)+SUMPRODUCT(($B$6:$B$18=B13)*($E$6:$E$18&gt;E13))</f>
        <v>1</v>
      </c>
      <c r="G13" s="40" t="n">
        <f aca="false">IF(N(C24)+N(C27)&gt;0,1,0)+IF(N(I24)+N(I27)&gt;0,1,0)+IF(N(K33)+N(K30)&gt;0,1,0)+IF(N(E39)+N(E36)&gt;0,1,0)+IF(N(G36)+N(G39)&gt;0,1,0)</f>
        <v>0</v>
      </c>
    </row>
    <row r="14" customFormat="false" ht="15" hidden="false" customHeight="false" outlineLevel="0" collapsed="false">
      <c r="A14" s="39" t="s">
        <v>388</v>
      </c>
      <c r="B14" s="40" t="n">
        <f aca="false">IF(C24&gt;C27,1,0)+IF(E33&gt;E30,1,0)+IF(G33&gt;G30,1,0)+IF(M33&gt;M30,1,0)+IF(I36&gt;I39,1,0)</f>
        <v>0</v>
      </c>
      <c r="C14" s="40" t="n">
        <f aca="false">N(C24)+N(E33)+N(G33)+N(M33)+N(I36)</f>
        <v>0</v>
      </c>
      <c r="D14" s="40" t="n">
        <f aca="false">N(C27)+N(E30)+N(G30)+N(M30)+N(I39)</f>
        <v>0</v>
      </c>
      <c r="E14" s="40" t="n">
        <f aca="false">C14-D14</f>
        <v>0</v>
      </c>
      <c r="F14" s="40" t="n">
        <f aca="false">RANK(B14,$B$6:$B$18)+SUMPRODUCT(($B$6:$B$18=B14)*($E$6:$E$18&gt;E14))</f>
        <v>1</v>
      </c>
      <c r="G14" s="40" t="n">
        <f aca="false">IF(N(C24)+N(C27)&gt;0,1,0)+IF(N(E33)+N(E30)&gt;0,1,0)+IF(N(G33)+N(G30)&gt;0,1,0)+IF(N(M33)+N(M30)&gt;0,1,0)+IF(N(I36)+N(I39)&gt;0,1,0)</f>
        <v>0</v>
      </c>
    </row>
    <row r="15" customFormat="false" ht="15" hidden="false" customHeight="false" outlineLevel="0" collapsed="false">
      <c r="A15" s="39" t="s">
        <v>391</v>
      </c>
      <c r="B15" s="40" t="n">
        <f aca="false">IF(G24&gt;G27,1,0)+IF(C33&gt;C30,1,0)+IF(M30&gt;M33,1,0)+IF(E36&gt;E39,1,0)+IF(K36&gt;K39,1,0)</f>
        <v>0</v>
      </c>
      <c r="C15" s="40" t="n">
        <f aca="false">N(G24)+N(C33)+N(M30)+N(E36)+N(K36)</f>
        <v>0</v>
      </c>
      <c r="D15" s="40" t="n">
        <f aca="false">N(G27)+N(C30)+N(M33)+N(E39)+N(K39)</f>
        <v>0</v>
      </c>
      <c r="E15" s="40" t="n">
        <f aca="false">C15-D15</f>
        <v>0</v>
      </c>
      <c r="F15" s="40" t="n">
        <f aca="false">RANK(B15,$B$6:$B$18)+SUMPRODUCT(($B$6:$B$18=B15)*($E$6:$E$18&gt;E15))</f>
        <v>1</v>
      </c>
      <c r="G15" s="40" t="n">
        <f aca="false">IF(N(G24)+N(G27)&gt;0,1,0)+IF(N(C33)+N(C30)&gt;0,1,0)+IF(N(M30)+N(M33)&gt;0,1,0)+IF(N(E36)+N(E39)&gt;0,1,0)+IF(N(K36)+N(K39)&gt;0,1,0)</f>
        <v>0</v>
      </c>
    </row>
    <row r="16" customFormat="false" ht="15" hidden="false" customHeight="false" outlineLevel="0" collapsed="false">
      <c r="A16" s="39" t="s">
        <v>394</v>
      </c>
      <c r="B16" s="40" t="n">
        <f aca="false">IF(I24&gt;I27,1,0)+IF(C33&gt;C30,1,0)+IF(E30&gt;E33,1,0)+IF(M33&gt;M30,1,0)+IF(K39&gt;K36,1,0)</f>
        <v>0</v>
      </c>
      <c r="C16" s="40" t="n">
        <f aca="false">N(I24)+N(C33)+N(E30)+N(M33)+N(K39)</f>
        <v>0</v>
      </c>
      <c r="D16" s="40" t="n">
        <f aca="false">N(I27)+N(C30)+N(E33)+N(M30)+N(K36)</f>
        <v>0</v>
      </c>
      <c r="E16" s="40" t="n">
        <f aca="false">C16-D16</f>
        <v>0</v>
      </c>
      <c r="F16" s="40" t="n">
        <f aca="false">RANK(B16,$B$6:$B$18)+SUMPRODUCT(($B$6:$B$18=B16)*($E$6:$E$18&gt;E16))</f>
        <v>1</v>
      </c>
      <c r="G16" s="40" t="n">
        <f aca="false">IF(N(I24)+N(I27)&gt;0,1,0)+IF(N(C33)+N(C30)&gt;0,1,0)+IF(N(E30)+N(E33)&gt;0,1,0)+IF(N(M33)+N(M30)&gt;0,1,0)+IF(N(K39)+N(K36)&gt;0,1,0)</f>
        <v>0</v>
      </c>
    </row>
    <row r="17" customFormat="false" ht="15" hidden="false" customHeight="false" outlineLevel="0" collapsed="false">
      <c r="A17" s="39" t="s">
        <v>397</v>
      </c>
      <c r="B17" s="40" t="n">
        <f aca="false">IF(C39&gt;C36,1,0)+IF(G39&gt;G36,1,0)+IF(I39&gt;I36,1,0)+IF(K39&gt;K36,1,0)+IF(M36&gt;M39,1,0)</f>
        <v>0</v>
      </c>
      <c r="C17" s="40" t="n">
        <f aca="false">N(C39)+N(G39)+N(I39)+N(K39)+N(M36)</f>
        <v>0</v>
      </c>
      <c r="D17" s="40" t="n">
        <f aca="false">N(C36)+N(G36)+N(I36)+N(K36)+N(M39)</f>
        <v>0</v>
      </c>
      <c r="E17" s="40" t="n">
        <f aca="false">C17-D17</f>
        <v>0</v>
      </c>
      <c r="F17" s="40" t="n">
        <f aca="false">RANK(B17,$B$6:$B$18)+SUMPRODUCT(($B$6:$B$18=B17)*($E$6:$E$18&gt;E17))</f>
        <v>1</v>
      </c>
      <c r="G17" s="40" t="n">
        <f aca="false">IF(N(C39)+N(C36)&gt;0,1,0)+IF(N(G39)+N(G36)&gt;0,1,0)+IF(N(I39)+N(I36)&gt;0,1,0)+IF(N(K39)+N(K36)&gt;0,1,0)+IF(N(M36)+N(M39)&gt;0,1,0)</f>
        <v>0</v>
      </c>
    </row>
    <row r="18" customFormat="false" ht="15" hidden="false" customHeight="false" outlineLevel="0" collapsed="false">
      <c r="A18" s="39" t="s">
        <v>401</v>
      </c>
      <c r="B18" s="40" t="n">
        <f aca="false">IF(M24&gt;M27,1,0)+IF(E30&gt;E33,1,0)+IF(G30&gt;G33,1,0)+IF(I30&gt;I33,1,0)+IF(K36&gt;K39,1,0)</f>
        <v>0</v>
      </c>
      <c r="C18" s="40" t="n">
        <f aca="false">N(M24)+N(E30)+N(G30)+N(I30)+N(K36)</f>
        <v>0</v>
      </c>
      <c r="D18" s="40" t="n">
        <f aca="false">N(M27)+N(E33)+N(G33)+N(I33)+N(K39)</f>
        <v>0</v>
      </c>
      <c r="E18" s="40" t="n">
        <f aca="false">C18-D18</f>
        <v>0</v>
      </c>
      <c r="F18" s="40" t="n">
        <f aca="false">RANK(B18,$B$6:$B$18)+SUMPRODUCT(($B$6:$B$18=B18)*($E$6:$E$18&gt;E18))</f>
        <v>1</v>
      </c>
      <c r="G18" s="40" t="n">
        <f aca="false">IF(N(M24)+N(M27)&gt;0,1,0)+IF(N(E30)+N(E33)&gt;0,1,0)+IF(N(G30)+N(G33)&gt;0,1,0)+IF(N(I30)+N(I33)&gt;0,1,0)+IF(N(K36)+N(K39)&gt;0,1,0)</f>
        <v>0</v>
      </c>
    </row>
    <row r="20" customFormat="false" ht="15" hidden="false" customHeight="true" outlineLevel="0" collapsed="false">
      <c r="A20" s="18" t="s">
        <v>358</v>
      </c>
      <c r="B20" s="18"/>
      <c r="C20" s="18"/>
      <c r="D20" s="18"/>
      <c r="E20" s="18"/>
      <c r="F20" s="18"/>
      <c r="G20" s="18"/>
      <c r="H20" s="18"/>
      <c r="I20" s="18"/>
      <c r="J20" s="18"/>
      <c r="K20" s="18"/>
      <c r="L20" s="18"/>
      <c r="M20" s="18"/>
    </row>
    <row r="21" customFormat="false" ht="21.75" hidden="false" customHeight="true" outlineLevel="0" collapsed="false">
      <c r="A21" s="38" t="s">
        <v>359</v>
      </c>
      <c r="B21" s="41" t="s">
        <v>360</v>
      </c>
      <c r="C21" s="41"/>
      <c r="D21" s="41" t="s">
        <v>361</v>
      </c>
      <c r="E21" s="41"/>
      <c r="F21" s="41" t="s">
        <v>362</v>
      </c>
      <c r="G21" s="41"/>
      <c r="H21" s="41" t="s">
        <v>363</v>
      </c>
      <c r="I21" s="41"/>
      <c r="J21" s="41" t="s">
        <v>364</v>
      </c>
      <c r="K21" s="41"/>
      <c r="L21" s="41" t="s">
        <v>365</v>
      </c>
      <c r="M21" s="41"/>
    </row>
    <row r="22" customFormat="false" ht="21.75" hidden="false" customHeight="true" outlineLevel="0" collapsed="false">
      <c r="A22" s="42" t="s">
        <v>366</v>
      </c>
    </row>
    <row r="23" customFormat="false" ht="21.75" hidden="false" customHeight="true" outlineLevel="0" collapsed="false">
      <c r="A23" s="43" t="s">
        <v>367</v>
      </c>
      <c r="B23" s="29" t="str">
        <f aca="false">A13</f>
        <v>Player 8</v>
      </c>
      <c r="C23" s="44"/>
      <c r="D23" s="29" t="str">
        <f aca="false">A7</f>
        <v>Player 2</v>
      </c>
      <c r="E23" s="44"/>
      <c r="F23" s="29" t="str">
        <f aca="false">A11</f>
        <v>Player 6</v>
      </c>
      <c r="G23" s="44"/>
      <c r="H23" s="29" t="str">
        <f aca="false">A16</f>
        <v>Player 11</v>
      </c>
      <c r="I23" s="44"/>
      <c r="J23" s="29" t="str">
        <f aca="false">A9</f>
        <v>Player 4</v>
      </c>
      <c r="K23" s="44"/>
      <c r="L23" s="29" t="str">
        <f aca="false">A18</f>
        <v>Player 13</v>
      </c>
      <c r="M23" s="44"/>
    </row>
    <row r="24" customFormat="false" ht="21.75" hidden="false" customHeight="true" outlineLevel="0" collapsed="false">
      <c r="A24" s="45"/>
      <c r="B24" s="29" t="str">
        <f aca="false">A14</f>
        <v>Player 9</v>
      </c>
      <c r="C24" s="46"/>
      <c r="D24" s="29" t="str">
        <f aca="false">A8</f>
        <v>Player 3</v>
      </c>
      <c r="E24" s="46"/>
      <c r="F24" s="29" t="str">
        <f aca="false">A15</f>
        <v>Player 10</v>
      </c>
      <c r="G24" s="46"/>
      <c r="H24" s="29" t="str">
        <f aca="false">A13</f>
        <v>Player 8</v>
      </c>
      <c r="I24" s="46"/>
      <c r="J24" s="29" t="str">
        <f aca="false">A10</f>
        <v>Player 5</v>
      </c>
      <c r="K24" s="46"/>
      <c r="L24" s="29" t="str">
        <f aca="false">A8</f>
        <v>Player 3</v>
      </c>
      <c r="M24" s="46"/>
    </row>
    <row r="25" customFormat="false" ht="18" hidden="false" customHeight="true" outlineLevel="0" collapsed="false">
      <c r="A25" s="47" t="s">
        <v>368</v>
      </c>
      <c r="B25" s="47" t="s">
        <v>369</v>
      </c>
      <c r="C25" s="44"/>
      <c r="D25" s="47" t="s">
        <v>369</v>
      </c>
      <c r="E25" s="44"/>
      <c r="F25" s="47" t="s">
        <v>369</v>
      </c>
      <c r="G25" s="44"/>
      <c r="H25" s="47" t="s">
        <v>369</v>
      </c>
      <c r="I25" s="44"/>
      <c r="J25" s="47" t="s">
        <v>369</v>
      </c>
      <c r="K25" s="44"/>
      <c r="L25" s="47" t="s">
        <v>369</v>
      </c>
      <c r="M25" s="44"/>
    </row>
    <row r="26" customFormat="false" ht="21.75" hidden="false" customHeight="true" outlineLevel="0" collapsed="false">
      <c r="A26" s="43" t="s">
        <v>370</v>
      </c>
      <c r="B26" s="29" t="str">
        <f aca="false">A12</f>
        <v>Player 7</v>
      </c>
      <c r="C26" s="44"/>
      <c r="D26" s="29" t="str">
        <f aca="false">A11</f>
        <v>Player 6</v>
      </c>
      <c r="E26" s="44"/>
      <c r="F26" s="29" t="str">
        <f aca="false">A10</f>
        <v>Player 5</v>
      </c>
      <c r="G26" s="44"/>
      <c r="H26" s="29" t="str">
        <f aca="false">A8</f>
        <v>Player 3</v>
      </c>
      <c r="I26" s="44"/>
      <c r="J26" s="29" t="str">
        <f aca="false">A8</f>
        <v>Player 3</v>
      </c>
      <c r="K26" s="44"/>
      <c r="L26" s="29" t="str">
        <f aca="false">A7</f>
        <v>Player 2</v>
      </c>
      <c r="M26" s="44"/>
    </row>
    <row r="27" customFormat="false" ht="21.75" hidden="false" customHeight="true" outlineLevel="0" collapsed="false">
      <c r="A27" s="45"/>
      <c r="B27" s="29" t="str">
        <f aca="false">A7</f>
        <v>Player 2</v>
      </c>
      <c r="C27" s="46"/>
      <c r="D27" s="29" t="str">
        <f aca="false">A10</f>
        <v>Player 5</v>
      </c>
      <c r="E27" s="46"/>
      <c r="F27" s="29" t="str">
        <f aca="false">A8</f>
        <v>Player 3</v>
      </c>
      <c r="G27" s="46"/>
      <c r="H27" s="29" t="str">
        <f aca="false">A9</f>
        <v>Player 4</v>
      </c>
      <c r="I27" s="46"/>
      <c r="J27" s="29" t="str">
        <f aca="false">A6</f>
        <v>Player 1</v>
      </c>
      <c r="K27" s="46"/>
      <c r="L27" s="29" t="str">
        <f aca="false">A6</f>
        <v>Player 1</v>
      </c>
      <c r="M27" s="46"/>
    </row>
    <row r="28" customFormat="false" ht="21.75" hidden="false" customHeight="true" outlineLevel="0" collapsed="false">
      <c r="A28" s="42" t="s">
        <v>385</v>
      </c>
    </row>
    <row r="29" customFormat="false" ht="21.75" hidden="false" customHeight="true" outlineLevel="0" collapsed="false">
      <c r="A29" s="43" t="s">
        <v>367</v>
      </c>
      <c r="B29" s="29" t="str">
        <f aca="false">A11</f>
        <v>Player 6</v>
      </c>
      <c r="C29" s="44"/>
      <c r="D29" s="29" t="str">
        <f aca="false">A18</f>
        <v>Player 13</v>
      </c>
      <c r="E29" s="44"/>
      <c r="F29" s="29" t="str">
        <f aca="false">A9</f>
        <v>Player 4</v>
      </c>
      <c r="G29" s="44"/>
      <c r="H29" s="29" t="str">
        <f aca="false">A7</f>
        <v>Player 2</v>
      </c>
      <c r="I29" s="44"/>
      <c r="J29" s="29" t="str">
        <f aca="false">A12</f>
        <v>Player 7</v>
      </c>
      <c r="K29" s="44"/>
      <c r="L29" s="29" t="str">
        <f aca="false">A15</f>
        <v>Player 10</v>
      </c>
      <c r="M29" s="44"/>
    </row>
    <row r="30" customFormat="false" ht="21.75" hidden="false" customHeight="true" outlineLevel="0" collapsed="false">
      <c r="A30" s="45"/>
      <c r="B30" s="29" t="str">
        <f aca="false">A8</f>
        <v>Player 3</v>
      </c>
      <c r="C30" s="46"/>
      <c r="D30" s="29" t="str">
        <f aca="false">A16</f>
        <v>Player 11</v>
      </c>
      <c r="E30" s="46"/>
      <c r="F30" s="29" t="str">
        <f aca="false">A18</f>
        <v>Player 13</v>
      </c>
      <c r="G30" s="46"/>
      <c r="H30" s="29" t="str">
        <f aca="false">A18</f>
        <v>Player 13</v>
      </c>
      <c r="I30" s="46"/>
      <c r="J30" s="29" t="str">
        <f aca="false">A11</f>
        <v>Player 6</v>
      </c>
      <c r="K30" s="46"/>
      <c r="L30" s="29" t="str">
        <f aca="false">A10</f>
        <v>Player 5</v>
      </c>
      <c r="M30" s="46"/>
    </row>
    <row r="31" customFormat="false" ht="18" hidden="false" customHeight="true" outlineLevel="0" collapsed="false">
      <c r="A31" s="47" t="s">
        <v>368</v>
      </c>
      <c r="B31" s="47" t="s">
        <v>369</v>
      </c>
      <c r="C31" s="44"/>
      <c r="D31" s="47" t="s">
        <v>369</v>
      </c>
      <c r="E31" s="44"/>
      <c r="F31" s="47" t="s">
        <v>369</v>
      </c>
      <c r="G31" s="44"/>
      <c r="H31" s="47" t="s">
        <v>369</v>
      </c>
      <c r="I31" s="44"/>
      <c r="J31" s="47" t="s">
        <v>369</v>
      </c>
      <c r="K31" s="44"/>
      <c r="L31" s="47" t="s">
        <v>369</v>
      </c>
      <c r="M31" s="44"/>
    </row>
    <row r="32" customFormat="false" ht="21.75" hidden="false" customHeight="true" outlineLevel="0" collapsed="false">
      <c r="A32" s="43" t="s">
        <v>370</v>
      </c>
      <c r="B32" s="29" t="str">
        <f aca="false">A15</f>
        <v>Player 10</v>
      </c>
      <c r="C32" s="44"/>
      <c r="D32" s="29" t="str">
        <f aca="false">A14</f>
        <v>Player 9</v>
      </c>
      <c r="E32" s="44"/>
      <c r="F32" s="29" t="str">
        <f aca="false">A14</f>
        <v>Player 9</v>
      </c>
      <c r="G32" s="44"/>
      <c r="H32" s="29" t="str">
        <f aca="false">A6</f>
        <v>Player 1</v>
      </c>
      <c r="I32" s="44"/>
      <c r="J32" s="29" t="str">
        <f aca="false">A7</f>
        <v>Player 2</v>
      </c>
      <c r="K32" s="44"/>
      <c r="L32" s="29" t="str">
        <f aca="false">A16</f>
        <v>Player 11</v>
      </c>
      <c r="M32" s="44"/>
    </row>
    <row r="33" customFormat="false" ht="21.75" hidden="false" customHeight="true" outlineLevel="0" collapsed="false">
      <c r="A33" s="45"/>
      <c r="B33" s="29" t="str">
        <f aca="false">A16</f>
        <v>Player 11</v>
      </c>
      <c r="C33" s="46"/>
      <c r="D33" s="29" t="str">
        <f aca="false">A9</f>
        <v>Player 4</v>
      </c>
      <c r="E33" s="46"/>
      <c r="F33" s="29" t="str">
        <f aca="false">A12</f>
        <v>Player 7</v>
      </c>
      <c r="G33" s="46"/>
      <c r="H33" s="29" t="str">
        <f aca="false">A12</f>
        <v>Player 7</v>
      </c>
      <c r="I33" s="46"/>
      <c r="J33" s="29" t="str">
        <f aca="false">A13</f>
        <v>Player 8</v>
      </c>
      <c r="K33" s="46"/>
      <c r="L33" s="29" t="str">
        <f aca="false">A14</f>
        <v>Player 9</v>
      </c>
      <c r="M33" s="46"/>
    </row>
    <row r="34" customFormat="false" ht="21.75" hidden="false" customHeight="true" outlineLevel="0" collapsed="false">
      <c r="A34" s="42" t="s">
        <v>398</v>
      </c>
    </row>
    <row r="35" customFormat="false" ht="21.75" hidden="false" customHeight="true" outlineLevel="0" collapsed="false">
      <c r="A35" s="43" t="s">
        <v>367</v>
      </c>
      <c r="B35" s="29" t="str">
        <f aca="false">A6</f>
        <v>Player 1</v>
      </c>
      <c r="C35" s="44"/>
      <c r="D35" s="29" t="str">
        <f aca="false">A6</f>
        <v>Player 1</v>
      </c>
      <c r="E35" s="44"/>
      <c r="F35" s="29" t="str">
        <f aca="false">A6</f>
        <v>Player 1</v>
      </c>
      <c r="G35" s="44"/>
      <c r="H35" s="29" t="str">
        <f aca="false">A10</f>
        <v>Player 5</v>
      </c>
      <c r="I35" s="44"/>
      <c r="J35" s="29" t="str">
        <f aca="false">A15</f>
        <v>Player 10</v>
      </c>
      <c r="K35" s="44"/>
      <c r="L35" s="29" t="str">
        <f aca="false">A17</f>
        <v>Player 12</v>
      </c>
      <c r="M35" s="44"/>
    </row>
    <row r="36" customFormat="false" ht="21.75" hidden="false" customHeight="true" outlineLevel="0" collapsed="false">
      <c r="A36" s="45"/>
      <c r="B36" s="29" t="str">
        <f aca="false">A9</f>
        <v>Player 4</v>
      </c>
      <c r="C36" s="46"/>
      <c r="D36" s="29" t="str">
        <f aca="false">A15</f>
        <v>Player 10</v>
      </c>
      <c r="E36" s="46"/>
      <c r="F36" s="29" t="str">
        <f aca="false">A13</f>
        <v>Player 8</v>
      </c>
      <c r="G36" s="46"/>
      <c r="H36" s="29" t="str">
        <f aca="false">A14</f>
        <v>Player 9</v>
      </c>
      <c r="I36" s="46"/>
      <c r="J36" s="29" t="str">
        <f aca="false">A18</f>
        <v>Player 13</v>
      </c>
      <c r="K36" s="46"/>
      <c r="L36" s="29" t="str">
        <f aca="false">A12</f>
        <v>Player 7</v>
      </c>
      <c r="M36" s="46"/>
    </row>
    <row r="37" customFormat="false" ht="18" hidden="false" customHeight="true" outlineLevel="0" collapsed="false">
      <c r="A37" s="47" t="s">
        <v>368</v>
      </c>
      <c r="B37" s="47" t="s">
        <v>369</v>
      </c>
      <c r="C37" s="44"/>
      <c r="D37" s="47" t="s">
        <v>369</v>
      </c>
      <c r="E37" s="44"/>
      <c r="F37" s="47" t="s">
        <v>369</v>
      </c>
      <c r="G37" s="44"/>
      <c r="H37" s="47" t="s">
        <v>369</v>
      </c>
      <c r="I37" s="44"/>
      <c r="J37" s="47" t="s">
        <v>369</v>
      </c>
      <c r="K37" s="44"/>
      <c r="L37" s="47" t="s">
        <v>369</v>
      </c>
      <c r="M37" s="44"/>
    </row>
    <row r="38" customFormat="false" ht="21.75" hidden="false" customHeight="true" outlineLevel="0" collapsed="false">
      <c r="A38" s="43" t="s">
        <v>370</v>
      </c>
      <c r="B38" s="29" t="str">
        <f aca="false">A17</f>
        <v>Player 12</v>
      </c>
      <c r="C38" s="44"/>
      <c r="D38" s="29" t="str">
        <f aca="false">A12</f>
        <v>Player 7</v>
      </c>
      <c r="E38" s="44"/>
      <c r="F38" s="29" t="str">
        <f aca="false">A17</f>
        <v>Player 12</v>
      </c>
      <c r="G38" s="44"/>
      <c r="H38" s="29" t="str">
        <f aca="false">A11</f>
        <v>Player 6</v>
      </c>
      <c r="I38" s="44"/>
      <c r="J38" s="29" t="str">
        <f aca="false">A17</f>
        <v>Player 12</v>
      </c>
      <c r="K38" s="44"/>
      <c r="L38" s="29" t="str">
        <f aca="false">A9</f>
        <v>Player 4</v>
      </c>
      <c r="M38" s="44"/>
    </row>
    <row r="39" customFormat="false" ht="21.75" hidden="false" customHeight="true" outlineLevel="0" collapsed="false">
      <c r="A39" s="45"/>
      <c r="B39" s="29" t="str">
        <f aca="false">A10</f>
        <v>Player 5</v>
      </c>
      <c r="C39" s="46"/>
      <c r="D39" s="29" t="str">
        <f aca="false">A13</f>
        <v>Player 8</v>
      </c>
      <c r="E39" s="46"/>
      <c r="F39" s="29" t="str">
        <f aca="false">A7</f>
        <v>Player 2</v>
      </c>
      <c r="G39" s="46"/>
      <c r="H39" s="29" t="str">
        <f aca="false">A17</f>
        <v>Player 12</v>
      </c>
      <c r="I39" s="46"/>
      <c r="J39" s="29" t="str">
        <f aca="false">A16</f>
        <v>Player 11</v>
      </c>
      <c r="K39" s="46"/>
      <c r="L39" s="29" t="str">
        <f aca="false">A11</f>
        <v>Player 6</v>
      </c>
      <c r="M39" s="46"/>
    </row>
    <row r="41" customFormat="false" ht="21.75" hidden="false" customHeight="true" outlineLevel="0" collapsed="false">
      <c r="A41" s="48" t="s">
        <v>374</v>
      </c>
      <c r="B41" s="49" t="str">
        <f aca="false">A18</f>
        <v>Player 13</v>
      </c>
      <c r="C41" s="49"/>
      <c r="D41" s="49" t="str">
        <f aca="false">A17</f>
        <v>Player 12</v>
      </c>
      <c r="E41" s="49"/>
      <c r="F41" s="49" t="str">
        <f aca="false">A16</f>
        <v>Player 11</v>
      </c>
      <c r="G41" s="49"/>
      <c r="H41" s="49" t="str">
        <f aca="false">A15</f>
        <v>Player 10</v>
      </c>
      <c r="I41" s="49"/>
      <c r="J41" s="49" t="str">
        <f aca="false">A14</f>
        <v>Player 9</v>
      </c>
      <c r="K41" s="49"/>
      <c r="L41" s="49" t="str">
        <f aca="false">A13</f>
        <v>Player 8</v>
      </c>
      <c r="M41" s="49"/>
    </row>
  </sheetData>
  <mergeCells count="16">
    <mergeCell ref="A1:M1"/>
    <mergeCell ref="A2:M2"/>
    <mergeCell ref="A4:G4"/>
    <mergeCell ref="A20:M20"/>
    <mergeCell ref="B21:C21"/>
    <mergeCell ref="D21:E21"/>
    <mergeCell ref="F21:G21"/>
    <mergeCell ref="H21:I21"/>
    <mergeCell ref="J21:K21"/>
    <mergeCell ref="L21:M21"/>
    <mergeCell ref="B41:C41"/>
    <mergeCell ref="D41:E41"/>
    <mergeCell ref="F41:G41"/>
    <mergeCell ref="H41:I41"/>
    <mergeCell ref="J41:K41"/>
    <mergeCell ref="L41:M4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4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0" topLeftCell="A21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12"/>
    <col collapsed="false" customWidth="true" hidden="false" outlineLevel="0" max="3" min="3" style="0" width="7"/>
    <col collapsed="false" customWidth="true" hidden="false" outlineLevel="0" max="4" min="4" style="0" width="12"/>
    <col collapsed="false" customWidth="true" hidden="false" outlineLevel="0" max="5" min="5" style="0" width="7"/>
    <col collapsed="false" customWidth="true" hidden="false" outlineLevel="0" max="6" min="6" style="0" width="12"/>
    <col collapsed="false" customWidth="true" hidden="false" outlineLevel="0" max="7" min="7" style="0" width="7"/>
    <col collapsed="false" customWidth="true" hidden="false" outlineLevel="0" max="8" min="8" style="0" width="12"/>
    <col collapsed="false" customWidth="true" hidden="false" outlineLevel="0" max="9" min="9" style="0" width="7"/>
    <col collapsed="false" customWidth="true" hidden="false" outlineLevel="0" max="10" min="10" style="0" width="12"/>
    <col collapsed="false" customWidth="true" hidden="false" outlineLevel="0" max="11" min="11" style="0" width="7"/>
    <col collapsed="false" customWidth="true" hidden="false" outlineLevel="0" max="12" min="12" style="0" width="12"/>
    <col collapsed="false" customWidth="true" hidden="false" outlineLevel="0" max="13" min="13" style="0" width="7"/>
  </cols>
  <sheetData>
    <row r="1" customFormat="false" ht="22.05" hidden="false" customHeight="false" outlineLevel="0" collapsed="false">
      <c r="A1" s="36" t="s">
        <v>402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</row>
    <row r="2" customFormat="false" ht="15" hidden="false" customHeight="false" outlineLevel="0" collapsed="false">
      <c r="A2" s="37" t="s">
        <v>403</v>
      </c>
      <c r="B2" s="37"/>
      <c r="C2" s="37"/>
      <c r="D2" s="37"/>
      <c r="E2" s="37"/>
      <c r="F2" s="37"/>
      <c r="G2" s="37"/>
      <c r="H2" s="37"/>
      <c r="I2" s="37"/>
      <c r="J2" s="37"/>
      <c r="K2" s="37"/>
      <c r="L2" s="37"/>
      <c r="M2" s="37"/>
    </row>
    <row r="4" customFormat="false" ht="15" hidden="false" customHeight="true" outlineLevel="0" collapsed="false">
      <c r="A4" s="18" t="s">
        <v>346</v>
      </c>
      <c r="B4" s="18"/>
      <c r="C4" s="18"/>
      <c r="D4" s="18"/>
      <c r="E4" s="18"/>
      <c r="F4" s="18"/>
      <c r="G4" s="18"/>
    </row>
    <row r="5" customFormat="false" ht="21.75" hidden="false" customHeight="true" outlineLevel="0" collapsed="false">
      <c r="A5" s="38" t="s">
        <v>347</v>
      </c>
      <c r="B5" s="38" t="s">
        <v>348</v>
      </c>
      <c r="C5" s="38" t="s">
        <v>349</v>
      </c>
      <c r="D5" s="38" t="s">
        <v>350</v>
      </c>
      <c r="E5" s="38" t="s">
        <v>351</v>
      </c>
      <c r="F5" s="38" t="s">
        <v>352</v>
      </c>
      <c r="G5" s="38" t="s">
        <v>353</v>
      </c>
    </row>
    <row r="6" customFormat="false" ht="15" hidden="false" customHeight="false" outlineLevel="0" collapsed="false">
      <c r="A6" s="39" t="s">
        <v>354</v>
      </c>
      <c r="B6" s="40" t="n">
        <f aca="false">IF(K28&gt;K25,1,0)+IF(E31&gt;E34,1,0)+IF(I34&gt;I31,1,0)+IF(M34&gt;M31,1,0)+IF(G40&gt;G37,1,0)</f>
        <v>0</v>
      </c>
      <c r="C6" s="40" t="n">
        <f aca="false">N(K28)+N(E31)+N(I34)+N(M34)+N(G40)</f>
        <v>0</v>
      </c>
      <c r="D6" s="40" t="n">
        <f aca="false">N(K25)+N(E34)+N(I31)+N(M31)+N(G37)</f>
        <v>0</v>
      </c>
      <c r="E6" s="40" t="n">
        <f aca="false">C6-D6</f>
        <v>0</v>
      </c>
      <c r="F6" s="40" t="n">
        <f aca="false">RANK(B6,$B$6:$B$19)+SUMPRODUCT(($B$6:$B$19=B6)*($E$6:$E$19&gt;E6))</f>
        <v>1</v>
      </c>
      <c r="G6" s="40" t="n">
        <f aca="false">IF(N(K28)+N(K25)&gt;0,1,0)+IF(N(E31)+N(E34)&gt;0,1,0)+IF(N(I34)+N(I31)&gt;0,1,0)+IF(N(M34)+N(M31)&gt;0,1,0)+IF(N(G40)+N(G37)&gt;0,1,0)</f>
        <v>0</v>
      </c>
    </row>
    <row r="7" customFormat="false" ht="15" hidden="false" customHeight="false" outlineLevel="0" collapsed="false">
      <c r="A7" s="39" t="s">
        <v>355</v>
      </c>
      <c r="B7" s="40" t="n">
        <f aca="false">IF(G25&gt;G28,1,0)+IF(M25&gt;M28,1,0)+IF(I31&gt;I34,1,0)+IF(C37&gt;C40,1,0)+IF(K40&gt;K37,1,0)</f>
        <v>0</v>
      </c>
      <c r="C7" s="40" t="n">
        <f aca="false">N(G25)+N(M25)+N(I31)+N(C37)+N(K40)</f>
        <v>0</v>
      </c>
      <c r="D7" s="40" t="n">
        <f aca="false">N(G28)+N(M28)+N(I34)+N(C40)+N(K37)</f>
        <v>0</v>
      </c>
      <c r="E7" s="40" t="n">
        <f aca="false">C7-D7</f>
        <v>0</v>
      </c>
      <c r="F7" s="40" t="n">
        <f aca="false">RANK(B7,$B$6:$B$19)+SUMPRODUCT(($B$6:$B$19=B7)*($E$6:$E$19&gt;E7))</f>
        <v>1</v>
      </c>
      <c r="G7" s="40" t="n">
        <f aca="false">IF(N(G25)+N(G28)&gt;0,1,0)+IF(N(M25)+N(M28)&gt;0,1,0)+IF(N(I31)+N(I34)&gt;0,1,0)+IF(N(C37)+N(C40)&gt;0,1,0)+IF(N(K40)+N(K37)&gt;0,1,0)</f>
        <v>0</v>
      </c>
    </row>
    <row r="8" customFormat="false" ht="15" hidden="false" customHeight="false" outlineLevel="0" collapsed="false">
      <c r="A8" s="39" t="s">
        <v>356</v>
      </c>
      <c r="B8" s="40" t="n">
        <f aca="false">IF(E25&gt;E28,1,0)+IF(I25&gt;I28,1,0)+IF(K28&gt;K25,1,0)+IF(C31&gt;C34,1,0)+IF(M40&gt;M37,1,0)</f>
        <v>0</v>
      </c>
      <c r="C8" s="40" t="n">
        <f aca="false">N(E25)+N(I25)+N(K28)+N(C31)+N(M40)</f>
        <v>0</v>
      </c>
      <c r="D8" s="40" t="n">
        <f aca="false">N(E28)+N(I28)+N(K25)+N(C34)+N(M37)</f>
        <v>0</v>
      </c>
      <c r="E8" s="40" t="n">
        <f aca="false">C8-D8</f>
        <v>0</v>
      </c>
      <c r="F8" s="40" t="n">
        <f aca="false">RANK(B8,$B$6:$B$19)+SUMPRODUCT(($B$6:$B$19=B8)*($E$6:$E$19&gt;E8))</f>
        <v>1</v>
      </c>
      <c r="G8" s="40" t="n">
        <f aca="false">IF(N(E25)+N(E28)&gt;0,1,0)+IF(N(I25)+N(I28)&gt;0,1,0)+IF(N(K28)+N(K25)&gt;0,1,0)+IF(N(C31)+N(C34)&gt;0,1,0)+IF(N(M40)+N(M37)&gt;0,1,0)</f>
        <v>0</v>
      </c>
    </row>
    <row r="9" customFormat="false" ht="15" hidden="false" customHeight="false" outlineLevel="0" collapsed="false">
      <c r="A9" s="39" t="s">
        <v>357</v>
      </c>
      <c r="B9" s="40" t="n">
        <f aca="false">IF(M28&gt;M25,1,0)+IF(C34&gt;C31,1,0)+IF(E34&gt;E31,1,0)+IF(G34&gt;G31,1,0)+IF(K34&gt;K31,1,0)</f>
        <v>0</v>
      </c>
      <c r="C9" s="40" t="n">
        <f aca="false">N(M28)+N(C34)+N(E34)+N(G34)+N(K34)</f>
        <v>0</v>
      </c>
      <c r="D9" s="40" t="n">
        <f aca="false">N(M25)+N(C31)+N(E31)+N(G31)+N(K31)</f>
        <v>0</v>
      </c>
      <c r="E9" s="40" t="n">
        <f aca="false">C9-D9</f>
        <v>0</v>
      </c>
      <c r="F9" s="40" t="n">
        <f aca="false">RANK(B9,$B$6:$B$19)+SUMPRODUCT(($B$6:$B$19=B9)*($E$6:$E$19&gt;E9))</f>
        <v>1</v>
      </c>
      <c r="G9" s="40" t="n">
        <f aca="false">IF(N(M28)+N(M25)&gt;0,1,0)+IF(N(C34)+N(C31)&gt;0,1,0)+IF(N(E34)+N(E31)&gt;0,1,0)+IF(N(G34)+N(G31)&gt;0,1,0)+IF(N(K34)+N(K31)&gt;0,1,0)</f>
        <v>0</v>
      </c>
    </row>
    <row r="10" customFormat="false" ht="15" hidden="false" customHeight="false" outlineLevel="0" collapsed="false">
      <c r="A10" s="39" t="s">
        <v>373</v>
      </c>
      <c r="B10" s="40" t="n">
        <f aca="false">IF(C28&gt;C25,1,0)+IF(E28&gt;E25,1,0)+IF(G25&gt;G28,1,0)+IF(M31&gt;M34,1,0)+IF(I37&gt;I40,1,0)</f>
        <v>0</v>
      </c>
      <c r="C10" s="40" t="n">
        <f aca="false">N(C28)+N(E28)+N(G25)+N(M31)+N(I37)</f>
        <v>0</v>
      </c>
      <c r="D10" s="40" t="n">
        <f aca="false">N(C25)+N(E25)+N(G28)+N(M34)+N(I40)</f>
        <v>0</v>
      </c>
      <c r="E10" s="40" t="n">
        <f aca="false">C10-D10</f>
        <v>0</v>
      </c>
      <c r="F10" s="40" t="n">
        <f aca="false">RANK(B10,$B$6:$B$19)+SUMPRODUCT(($B$6:$B$19=B10)*($E$6:$E$19&gt;E10))</f>
        <v>1</v>
      </c>
      <c r="G10" s="40" t="n">
        <f aca="false">IF(N(C28)+N(C25)&gt;0,1,0)+IF(N(E28)+N(E25)&gt;0,1,0)+IF(N(G25)+N(G28)&gt;0,1,0)+IF(N(M31)+N(M34)&gt;0,1,0)+IF(N(I37)+N(I40)&gt;0,1,0)</f>
        <v>0</v>
      </c>
    </row>
    <row r="11" customFormat="false" ht="15" hidden="false" customHeight="false" outlineLevel="0" collapsed="false">
      <c r="A11" s="39" t="s">
        <v>377</v>
      </c>
      <c r="B11" s="40" t="n">
        <f aca="false">IF(I28&gt;I25,1,0)+IF(G31&gt;G34,1,0)+IF(K31&gt;K34,1,0)+IF(C40&gt;C37,1,0)+IF(E40&gt;E37,1,0)</f>
        <v>0</v>
      </c>
      <c r="C11" s="40" t="n">
        <f aca="false">N(I28)+N(G31)+N(K31)+N(C40)+N(E40)</f>
        <v>0</v>
      </c>
      <c r="D11" s="40" t="n">
        <f aca="false">N(I25)+N(G34)+N(K34)+N(C37)+N(E37)</f>
        <v>0</v>
      </c>
      <c r="E11" s="40" t="n">
        <f aca="false">C11-D11</f>
        <v>0</v>
      </c>
      <c r="F11" s="40" t="n">
        <f aca="false">RANK(B11,$B$6:$B$19)+SUMPRODUCT(($B$6:$B$19=B11)*($E$6:$E$19&gt;E11))</f>
        <v>1</v>
      </c>
      <c r="G11" s="40" t="n">
        <f aca="false">IF(N(I28)+N(I25)&gt;0,1,0)+IF(N(G31)+N(G34)&gt;0,1,0)+IF(N(K31)+N(K34)&gt;0,1,0)+IF(N(C40)+N(C37)&gt;0,1,0)+IF(N(E40)+N(E37)&gt;0,1,0)</f>
        <v>0</v>
      </c>
    </row>
    <row r="12" customFormat="false" ht="15" hidden="false" customHeight="false" outlineLevel="0" collapsed="false">
      <c r="A12" s="39" t="s">
        <v>380</v>
      </c>
      <c r="B12" s="40" t="n">
        <f aca="false">IF(C25&gt;C28,1,0)+IF(K34&gt;K31,1,0)+IF(M31&gt;M34,1,0)+IF(E40&gt;E37,1,0)+IF(G37&gt;G40,1,0)+IF(I40&gt;I37,1,0)</f>
        <v>0</v>
      </c>
      <c r="C12" s="40" t="n">
        <f aca="false">N(C25)+N(K34)+N(M31)+N(E40)+N(G37)+N(I40)</f>
        <v>0</v>
      </c>
      <c r="D12" s="40" t="n">
        <f aca="false">N(C28)+N(K31)+N(M34)+N(E37)+N(G40)+N(I37)</f>
        <v>0</v>
      </c>
      <c r="E12" s="40" t="n">
        <f aca="false">C12-D12</f>
        <v>0</v>
      </c>
      <c r="F12" s="40" t="n">
        <f aca="false">RANK(B12,$B$6:$B$19)+SUMPRODUCT(($B$6:$B$19=B12)*($E$6:$E$19&gt;E12))</f>
        <v>1</v>
      </c>
      <c r="G12" s="40" t="n">
        <f aca="false">IF(N(C25)+N(C28)&gt;0,1,0)+IF(N(K34)+N(K31)&gt;0,1,0)+IF(N(M31)+N(M34)&gt;0,1,0)+IF(N(E40)+N(E37)&gt;0,1,0)+IF(N(G37)+N(G40)&gt;0,1,0)+IF(N(I40)+N(I37)&gt;0,1,0)</f>
        <v>0</v>
      </c>
    </row>
    <row r="13" customFormat="false" ht="15" hidden="false" customHeight="false" outlineLevel="0" collapsed="false">
      <c r="A13" s="39" t="s">
        <v>384</v>
      </c>
      <c r="B13" s="40" t="n">
        <f aca="false">IF(I28&gt;I25,1,0)+IF(M28&gt;M25,1,0)+IF(C31&gt;C34,1,0)+IF(E37&gt;E40,1,0)+IF(G37&gt;G40,1,0)+IF(K40&gt;K37,1,0)</f>
        <v>0</v>
      </c>
      <c r="C13" s="40" t="n">
        <f aca="false">N(I28)+N(M28)+N(C31)+N(E37)+N(G37)+N(K40)</f>
        <v>0</v>
      </c>
      <c r="D13" s="40" t="n">
        <f aca="false">N(I25)+N(M25)+N(C34)+N(E40)+N(G40)+N(K37)</f>
        <v>0</v>
      </c>
      <c r="E13" s="40" t="n">
        <f aca="false">C13-D13</f>
        <v>0</v>
      </c>
      <c r="F13" s="40" t="n">
        <f aca="false">RANK(B13,$B$6:$B$19)+SUMPRODUCT(($B$6:$B$19=B13)*($E$6:$E$19&gt;E13))</f>
        <v>1</v>
      </c>
      <c r="G13" s="40" t="n">
        <f aca="false">IF(N(I28)+N(I25)&gt;0,1,0)+IF(N(M28)+N(M25)&gt;0,1,0)+IF(N(C31)+N(C34)&gt;0,1,0)+IF(N(E37)+N(E40)&gt;0,1,0)+IF(N(G37)+N(G40)&gt;0,1,0)+IF(N(K40)+N(K37)&gt;0,1,0)</f>
        <v>0</v>
      </c>
    </row>
    <row r="14" customFormat="false" ht="15" hidden="false" customHeight="false" outlineLevel="0" collapsed="false">
      <c r="A14" s="39" t="s">
        <v>388</v>
      </c>
      <c r="B14" s="40" t="n">
        <f aca="false">IF(G28&gt;G25,1,0)+IF(K25&gt;K28,1,0)+IF(E34&gt;E31,1,0)+IF(I34&gt;I31,1,0)+IF(C37&gt;C40,1,0)</f>
        <v>0</v>
      </c>
      <c r="C14" s="40" t="n">
        <f aca="false">N(G28)+N(K25)+N(E34)+N(I34)+N(C37)</f>
        <v>0</v>
      </c>
      <c r="D14" s="40" t="n">
        <f aca="false">N(G25)+N(K28)+N(E31)+N(I31)+N(C40)</f>
        <v>0</v>
      </c>
      <c r="E14" s="40" t="n">
        <f aca="false">C14-D14</f>
        <v>0</v>
      </c>
      <c r="F14" s="40" t="n">
        <f aca="false">RANK(B14,$B$6:$B$19)+SUMPRODUCT(($B$6:$B$19=B14)*($E$6:$E$19&gt;E14))</f>
        <v>1</v>
      </c>
      <c r="G14" s="40" t="n">
        <f aca="false">IF(N(G28)+N(G25)&gt;0,1,0)+IF(N(K25)+N(K28)&gt;0,1,0)+IF(N(E34)+N(E31)&gt;0,1,0)+IF(N(I34)+N(I31)&gt;0,1,0)+IF(N(C37)+N(C40)&gt;0,1,0)</f>
        <v>0</v>
      </c>
    </row>
    <row r="15" customFormat="false" ht="15" hidden="false" customHeight="false" outlineLevel="0" collapsed="false">
      <c r="A15" s="39" t="s">
        <v>391</v>
      </c>
      <c r="B15" s="40" t="n">
        <f aca="false">IF(C28&gt;C25,1,0)+IF(G28&gt;G25,1,0)+IF(I25&gt;I28,1,0)+IF(M25&gt;M28,1,0)+IF(E31&gt;E34,1,0)</f>
        <v>0</v>
      </c>
      <c r="C15" s="40" t="n">
        <f aca="false">N(C28)+N(G28)+N(I25)+N(M25)+N(E31)</f>
        <v>0</v>
      </c>
      <c r="D15" s="40" t="n">
        <f aca="false">N(C25)+N(G25)+N(I28)+N(M28)+N(E34)</f>
        <v>0</v>
      </c>
      <c r="E15" s="40" t="n">
        <f aca="false">C15-D15</f>
        <v>0</v>
      </c>
      <c r="F15" s="40" t="n">
        <f aca="false">RANK(B15,$B$6:$B$19)+SUMPRODUCT(($B$6:$B$19=B15)*($E$6:$E$19&gt;E15))</f>
        <v>1</v>
      </c>
      <c r="G15" s="40" t="n">
        <f aca="false">IF(N(C28)+N(C25)&gt;0,1,0)+IF(N(G28)+N(G25)&gt;0,1,0)+IF(N(I25)+N(I28)&gt;0,1,0)+IF(N(M25)+N(M28)&gt;0,1,0)+IF(N(E31)+N(E34)&gt;0,1,0)</f>
        <v>0</v>
      </c>
    </row>
    <row r="16" customFormat="false" ht="15" hidden="false" customHeight="false" outlineLevel="0" collapsed="false">
      <c r="A16" s="39" t="s">
        <v>394</v>
      </c>
      <c r="B16" s="40" t="n">
        <f aca="false">IF(E25&gt;E28,1,0)+IF(K25&gt;K28,1,0)+IF(C40&gt;C37,1,0)+IF(G40&gt;G37,1,0)+IF(M37&gt;M40,1,0)</f>
        <v>0</v>
      </c>
      <c r="C16" s="40" t="n">
        <f aca="false">N(E25)+N(K25)+N(C40)+N(G40)+N(M37)</f>
        <v>0</v>
      </c>
      <c r="D16" s="40" t="n">
        <f aca="false">N(E28)+N(K28)+N(C37)+N(G37)+N(M40)</f>
        <v>0</v>
      </c>
      <c r="E16" s="40" t="n">
        <f aca="false">C16-D16</f>
        <v>0</v>
      </c>
      <c r="F16" s="40" t="n">
        <f aca="false">RANK(B16,$B$6:$B$19)+SUMPRODUCT(($B$6:$B$19=B16)*($E$6:$E$19&gt;E16))</f>
        <v>1</v>
      </c>
      <c r="G16" s="40" t="n">
        <f aca="false">IF(N(E25)+N(E28)&gt;0,1,0)+IF(N(K25)+N(K28)&gt;0,1,0)+IF(N(C40)+N(C37)&gt;0,1,0)+IF(N(G40)+N(G37)&gt;0,1,0)+IF(N(M37)+N(M40)&gt;0,1,0)</f>
        <v>0</v>
      </c>
    </row>
    <row r="17" customFormat="false" ht="15" hidden="false" customHeight="false" outlineLevel="0" collapsed="false">
      <c r="A17" s="39" t="s">
        <v>397</v>
      </c>
      <c r="B17" s="40" t="n">
        <f aca="false">IF(C34&gt;C31,1,0)+IF(E37&gt;E40,1,0)+IF(I37&gt;I40,1,0)+IF(K37&gt;K40,1,0)+IF(M40&gt;M37,1,0)</f>
        <v>0</v>
      </c>
      <c r="C17" s="40" t="n">
        <f aca="false">N(C34)+N(E37)+N(I37)+N(K37)+N(M40)</f>
        <v>0</v>
      </c>
      <c r="D17" s="40" t="n">
        <f aca="false">N(C31)+N(E40)+N(I40)+N(K40)+N(M37)</f>
        <v>0</v>
      </c>
      <c r="E17" s="40" t="n">
        <f aca="false">C17-D17</f>
        <v>0</v>
      </c>
      <c r="F17" s="40" t="n">
        <f aca="false">RANK(B17,$B$6:$B$19)+SUMPRODUCT(($B$6:$B$19=B17)*($E$6:$E$19&gt;E17))</f>
        <v>1</v>
      </c>
      <c r="G17" s="40" t="n">
        <f aca="false">IF(N(C34)+N(C31)&gt;0,1,0)+IF(N(E37)+N(E40)&gt;0,1,0)+IF(N(I37)+N(I40)&gt;0,1,0)+IF(N(K37)+N(K40)&gt;0,1,0)+IF(N(M40)+N(M37)&gt;0,1,0)</f>
        <v>0</v>
      </c>
    </row>
    <row r="18" customFormat="false" ht="15" hidden="false" customHeight="false" outlineLevel="0" collapsed="false">
      <c r="A18" s="39" t="s">
        <v>401</v>
      </c>
      <c r="B18" s="40" t="n">
        <f aca="false">IF(C25&gt;C28,1,0)+IF(G34&gt;G31,1,0)+IF(I31&gt;I34,1,0)+IF(K31&gt;K34,1,0)+IF(M34&gt;M31,1,0)</f>
        <v>0</v>
      </c>
      <c r="C18" s="40" t="n">
        <f aca="false">N(C25)+N(G34)+N(I31)+N(K31)+N(M34)</f>
        <v>0</v>
      </c>
      <c r="D18" s="40" t="n">
        <f aca="false">N(C28)+N(G31)+N(I34)+N(K34)+N(M31)</f>
        <v>0</v>
      </c>
      <c r="E18" s="40" t="n">
        <f aca="false">C18-D18</f>
        <v>0</v>
      </c>
      <c r="F18" s="40" t="n">
        <f aca="false">RANK(B18,$B$6:$B$19)+SUMPRODUCT(($B$6:$B$19=B18)*($E$6:$E$19&gt;E18))</f>
        <v>1</v>
      </c>
      <c r="G18" s="40" t="n">
        <f aca="false">IF(N(C25)+N(C28)&gt;0,1,0)+IF(N(G34)+N(G31)&gt;0,1,0)+IF(N(I31)+N(I34)&gt;0,1,0)+IF(N(K31)+N(K34)&gt;0,1,0)+IF(N(M34)+N(M31)&gt;0,1,0)</f>
        <v>0</v>
      </c>
    </row>
    <row r="19" customFormat="false" ht="15" hidden="false" customHeight="false" outlineLevel="0" collapsed="false">
      <c r="A19" s="39" t="s">
        <v>404</v>
      </c>
      <c r="B19" s="40" t="n">
        <f aca="false">IF(E28&gt;E25,1,0)+IF(G31&gt;G34,1,0)+IF(I40&gt;I37,1,0)+IF(K37&gt;K40,1,0)+IF(M37&gt;M40,1,0)</f>
        <v>0</v>
      </c>
      <c r="C19" s="40" t="n">
        <f aca="false">N(E28)+N(G31)+N(I40)+N(K37)+N(M37)</f>
        <v>0</v>
      </c>
      <c r="D19" s="40" t="n">
        <f aca="false">N(E25)+N(G34)+N(I37)+N(K40)+N(M40)</f>
        <v>0</v>
      </c>
      <c r="E19" s="40" t="n">
        <f aca="false">C19-D19</f>
        <v>0</v>
      </c>
      <c r="F19" s="40" t="n">
        <f aca="false">RANK(B19,$B$6:$B$19)+SUMPRODUCT(($B$6:$B$19=B19)*($E$6:$E$19&gt;E19))</f>
        <v>1</v>
      </c>
      <c r="G19" s="40" t="n">
        <f aca="false">IF(N(E28)+N(E25)&gt;0,1,0)+IF(N(G31)+N(G34)&gt;0,1,0)+IF(N(I40)+N(I37)&gt;0,1,0)+IF(N(K37)+N(K40)&gt;0,1,0)+IF(N(M37)+N(M40)&gt;0,1,0)</f>
        <v>0</v>
      </c>
    </row>
    <row r="21" customFormat="false" ht="15" hidden="false" customHeight="true" outlineLevel="0" collapsed="false">
      <c r="A21" s="18" t="s">
        <v>358</v>
      </c>
      <c r="B21" s="18"/>
      <c r="C21" s="18"/>
      <c r="D21" s="18"/>
      <c r="E21" s="18"/>
      <c r="F21" s="18"/>
      <c r="G21" s="18"/>
      <c r="H21" s="18"/>
      <c r="I21" s="18"/>
      <c r="J21" s="18"/>
      <c r="K21" s="18"/>
      <c r="L21" s="18"/>
      <c r="M21" s="18"/>
    </row>
    <row r="22" customFormat="false" ht="21.75" hidden="false" customHeight="true" outlineLevel="0" collapsed="false">
      <c r="A22" s="38" t="s">
        <v>359</v>
      </c>
      <c r="B22" s="41" t="s">
        <v>360</v>
      </c>
      <c r="C22" s="41"/>
      <c r="D22" s="41" t="s">
        <v>361</v>
      </c>
      <c r="E22" s="41"/>
      <c r="F22" s="41" t="s">
        <v>362</v>
      </c>
      <c r="G22" s="41"/>
      <c r="H22" s="41" t="s">
        <v>363</v>
      </c>
      <c r="I22" s="41"/>
      <c r="J22" s="41" t="s">
        <v>364</v>
      </c>
      <c r="K22" s="41"/>
      <c r="L22" s="41" t="s">
        <v>365</v>
      </c>
      <c r="M22" s="41"/>
    </row>
    <row r="23" customFormat="false" ht="21.75" hidden="false" customHeight="true" outlineLevel="0" collapsed="false">
      <c r="A23" s="42" t="s">
        <v>366</v>
      </c>
    </row>
    <row r="24" customFormat="false" ht="21.75" hidden="false" customHeight="true" outlineLevel="0" collapsed="false">
      <c r="A24" s="43" t="s">
        <v>367</v>
      </c>
      <c r="B24" s="29" t="str">
        <f aca="false">A12</f>
        <v>Player 7</v>
      </c>
      <c r="C24" s="44"/>
      <c r="D24" s="29" t="str">
        <f aca="false">A16</f>
        <v>Player 11</v>
      </c>
      <c r="E24" s="44"/>
      <c r="F24" s="29" t="str">
        <f aca="false">A7</f>
        <v>Player 2</v>
      </c>
      <c r="G24" s="44"/>
      <c r="H24" s="29" t="str">
        <f aca="false">A8</f>
        <v>Player 3</v>
      </c>
      <c r="I24" s="44"/>
      <c r="J24" s="29" t="str">
        <f aca="false">A16</f>
        <v>Player 11</v>
      </c>
      <c r="K24" s="44"/>
      <c r="L24" s="29" t="str">
        <f aca="false">A15</f>
        <v>Player 10</v>
      </c>
      <c r="M24" s="44"/>
    </row>
    <row r="25" customFormat="false" ht="21.75" hidden="false" customHeight="true" outlineLevel="0" collapsed="false">
      <c r="A25" s="45"/>
      <c r="B25" s="29" t="str">
        <f aca="false">A18</f>
        <v>Player 13</v>
      </c>
      <c r="C25" s="46"/>
      <c r="D25" s="29" t="str">
        <f aca="false">A8</f>
        <v>Player 3</v>
      </c>
      <c r="E25" s="46"/>
      <c r="F25" s="29" t="str">
        <f aca="false">A10</f>
        <v>Player 5</v>
      </c>
      <c r="G25" s="46"/>
      <c r="H25" s="29" t="str">
        <f aca="false">A15</f>
        <v>Player 10</v>
      </c>
      <c r="I25" s="46"/>
      <c r="J25" s="29" t="str">
        <f aca="false">A14</f>
        <v>Player 9</v>
      </c>
      <c r="K25" s="46"/>
      <c r="L25" s="29" t="str">
        <f aca="false">A7</f>
        <v>Player 2</v>
      </c>
      <c r="M25" s="46"/>
    </row>
    <row r="26" customFormat="false" ht="18" hidden="false" customHeight="true" outlineLevel="0" collapsed="false">
      <c r="A26" s="47" t="s">
        <v>368</v>
      </c>
      <c r="B26" s="47" t="s">
        <v>369</v>
      </c>
      <c r="C26" s="44"/>
      <c r="D26" s="47" t="s">
        <v>369</v>
      </c>
      <c r="E26" s="44"/>
      <c r="F26" s="47" t="s">
        <v>369</v>
      </c>
      <c r="G26" s="44"/>
      <c r="H26" s="47" t="s">
        <v>369</v>
      </c>
      <c r="I26" s="44"/>
      <c r="J26" s="47" t="s">
        <v>369</v>
      </c>
      <c r="K26" s="44"/>
      <c r="L26" s="47" t="s">
        <v>369</v>
      </c>
      <c r="M26" s="44"/>
    </row>
    <row r="27" customFormat="false" ht="21.75" hidden="false" customHeight="true" outlineLevel="0" collapsed="false">
      <c r="A27" s="43" t="s">
        <v>370</v>
      </c>
      <c r="B27" s="29" t="str">
        <f aca="false">A15</f>
        <v>Player 10</v>
      </c>
      <c r="C27" s="44"/>
      <c r="D27" s="29" t="str">
        <f aca="false">A10</f>
        <v>Player 5</v>
      </c>
      <c r="E27" s="44"/>
      <c r="F27" s="29" t="str">
        <f aca="false">A14</f>
        <v>Player 9</v>
      </c>
      <c r="G27" s="44"/>
      <c r="H27" s="29" t="str">
        <f aca="false">A13</f>
        <v>Player 8</v>
      </c>
      <c r="I27" s="44"/>
      <c r="J27" s="29" t="str">
        <f aca="false">A8</f>
        <v>Player 3</v>
      </c>
      <c r="K27" s="44"/>
      <c r="L27" s="29" t="str">
        <f aca="false">A9</f>
        <v>Player 4</v>
      </c>
      <c r="M27" s="44"/>
    </row>
    <row r="28" customFormat="false" ht="21.75" hidden="false" customHeight="true" outlineLevel="0" collapsed="false">
      <c r="A28" s="45"/>
      <c r="B28" s="29" t="str">
        <f aca="false">A10</f>
        <v>Player 5</v>
      </c>
      <c r="C28" s="46"/>
      <c r="D28" s="29" t="str">
        <f aca="false">A19</f>
        <v>Player 14</v>
      </c>
      <c r="E28" s="46"/>
      <c r="F28" s="29" t="str">
        <f aca="false">A15</f>
        <v>Player 10</v>
      </c>
      <c r="G28" s="46"/>
      <c r="H28" s="29" t="str">
        <f aca="false">A11</f>
        <v>Player 6</v>
      </c>
      <c r="I28" s="46"/>
      <c r="J28" s="29" t="str">
        <f aca="false">A6</f>
        <v>Player 1</v>
      </c>
      <c r="K28" s="46"/>
      <c r="L28" s="29" t="str">
        <f aca="false">A13</f>
        <v>Player 8</v>
      </c>
      <c r="M28" s="46"/>
    </row>
    <row r="29" customFormat="false" ht="21.75" hidden="false" customHeight="true" outlineLevel="0" collapsed="false">
      <c r="A29" s="42" t="s">
        <v>385</v>
      </c>
    </row>
    <row r="30" customFormat="false" ht="21.75" hidden="false" customHeight="true" outlineLevel="0" collapsed="false">
      <c r="A30" s="43" t="s">
        <v>367</v>
      </c>
      <c r="B30" s="29" t="str">
        <f aca="false">A8</f>
        <v>Player 3</v>
      </c>
      <c r="C30" s="44"/>
      <c r="D30" s="29" t="str">
        <f aca="false">A6</f>
        <v>Player 1</v>
      </c>
      <c r="E30" s="44"/>
      <c r="F30" s="29" t="str">
        <f aca="false">A19</f>
        <v>Player 14</v>
      </c>
      <c r="G30" s="44"/>
      <c r="H30" s="29" t="str">
        <f aca="false">A18</f>
        <v>Player 13</v>
      </c>
      <c r="I30" s="44"/>
      <c r="J30" s="29" t="str">
        <f aca="false">A18</f>
        <v>Player 13</v>
      </c>
      <c r="K30" s="44"/>
      <c r="L30" s="29" t="str">
        <f aca="false">A10</f>
        <v>Player 5</v>
      </c>
      <c r="M30" s="44"/>
    </row>
    <row r="31" customFormat="false" ht="21.75" hidden="false" customHeight="true" outlineLevel="0" collapsed="false">
      <c r="A31" s="45"/>
      <c r="B31" s="29" t="str">
        <f aca="false">A13</f>
        <v>Player 8</v>
      </c>
      <c r="C31" s="46"/>
      <c r="D31" s="29" t="str">
        <f aca="false">A15</f>
        <v>Player 10</v>
      </c>
      <c r="E31" s="46"/>
      <c r="F31" s="29" t="str">
        <f aca="false">A11</f>
        <v>Player 6</v>
      </c>
      <c r="G31" s="46"/>
      <c r="H31" s="29" t="str">
        <f aca="false">A7</f>
        <v>Player 2</v>
      </c>
      <c r="I31" s="46"/>
      <c r="J31" s="29" t="str">
        <f aca="false">A11</f>
        <v>Player 6</v>
      </c>
      <c r="K31" s="46"/>
      <c r="L31" s="29" t="str">
        <f aca="false">A12</f>
        <v>Player 7</v>
      </c>
      <c r="M31" s="46"/>
    </row>
    <row r="32" customFormat="false" ht="18" hidden="false" customHeight="true" outlineLevel="0" collapsed="false">
      <c r="A32" s="47" t="s">
        <v>368</v>
      </c>
      <c r="B32" s="47" t="s">
        <v>369</v>
      </c>
      <c r="C32" s="44"/>
      <c r="D32" s="47" t="s">
        <v>369</v>
      </c>
      <c r="E32" s="44"/>
      <c r="F32" s="47" t="s">
        <v>369</v>
      </c>
      <c r="G32" s="44"/>
      <c r="H32" s="47" t="s">
        <v>369</v>
      </c>
      <c r="I32" s="44"/>
      <c r="J32" s="47" t="s">
        <v>369</v>
      </c>
      <c r="K32" s="44"/>
      <c r="L32" s="47" t="s">
        <v>369</v>
      </c>
      <c r="M32" s="44"/>
    </row>
    <row r="33" customFormat="false" ht="21.75" hidden="false" customHeight="true" outlineLevel="0" collapsed="false">
      <c r="A33" s="43" t="s">
        <v>370</v>
      </c>
      <c r="B33" s="29" t="str">
        <f aca="false">A17</f>
        <v>Player 12</v>
      </c>
      <c r="C33" s="44"/>
      <c r="D33" s="29" t="str">
        <f aca="false">A9</f>
        <v>Player 4</v>
      </c>
      <c r="E33" s="44"/>
      <c r="F33" s="29" t="str">
        <f aca="false">A18</f>
        <v>Player 13</v>
      </c>
      <c r="G33" s="44"/>
      <c r="H33" s="29" t="str">
        <f aca="false">A6</f>
        <v>Player 1</v>
      </c>
      <c r="I33" s="44"/>
      <c r="J33" s="29" t="str">
        <f aca="false">A9</f>
        <v>Player 4</v>
      </c>
      <c r="K33" s="44"/>
      <c r="L33" s="29" t="str">
        <f aca="false">A6</f>
        <v>Player 1</v>
      </c>
      <c r="M33" s="44"/>
    </row>
    <row r="34" customFormat="false" ht="21.75" hidden="false" customHeight="true" outlineLevel="0" collapsed="false">
      <c r="A34" s="45"/>
      <c r="B34" s="29" t="str">
        <f aca="false">A9</f>
        <v>Player 4</v>
      </c>
      <c r="C34" s="46"/>
      <c r="D34" s="29" t="str">
        <f aca="false">A14</f>
        <v>Player 9</v>
      </c>
      <c r="E34" s="46"/>
      <c r="F34" s="29" t="str">
        <f aca="false">A9</f>
        <v>Player 4</v>
      </c>
      <c r="G34" s="46"/>
      <c r="H34" s="29" t="str">
        <f aca="false">A14</f>
        <v>Player 9</v>
      </c>
      <c r="I34" s="46"/>
      <c r="J34" s="29" t="str">
        <f aca="false">A12</f>
        <v>Player 7</v>
      </c>
      <c r="K34" s="46"/>
      <c r="L34" s="29" t="str">
        <f aca="false">A18</f>
        <v>Player 13</v>
      </c>
      <c r="M34" s="46"/>
    </row>
    <row r="35" customFormat="false" ht="21.75" hidden="false" customHeight="true" outlineLevel="0" collapsed="false">
      <c r="A35" s="42" t="s">
        <v>398</v>
      </c>
    </row>
    <row r="36" customFormat="false" ht="21.75" hidden="false" customHeight="true" outlineLevel="0" collapsed="false">
      <c r="A36" s="43" t="s">
        <v>367</v>
      </c>
      <c r="B36" s="29" t="str">
        <f aca="false">A14</f>
        <v>Player 9</v>
      </c>
      <c r="C36" s="44"/>
      <c r="D36" s="29" t="str">
        <f aca="false">A13</f>
        <v>Player 8</v>
      </c>
      <c r="E36" s="44"/>
      <c r="F36" s="29" t="str">
        <f aca="false">A12</f>
        <v>Player 7</v>
      </c>
      <c r="G36" s="44"/>
      <c r="H36" s="29" t="str">
        <f aca="false">A10</f>
        <v>Player 5</v>
      </c>
      <c r="I36" s="44"/>
      <c r="J36" s="29" t="str">
        <f aca="false">A17</f>
        <v>Player 12</v>
      </c>
      <c r="K36" s="44"/>
      <c r="L36" s="29" t="str">
        <f aca="false">A19</f>
        <v>Player 14</v>
      </c>
      <c r="M36" s="44"/>
    </row>
    <row r="37" customFormat="false" ht="21.75" hidden="false" customHeight="true" outlineLevel="0" collapsed="false">
      <c r="A37" s="45"/>
      <c r="B37" s="29" t="str">
        <f aca="false">A7</f>
        <v>Player 2</v>
      </c>
      <c r="C37" s="46"/>
      <c r="D37" s="29" t="str">
        <f aca="false">A17</f>
        <v>Player 12</v>
      </c>
      <c r="E37" s="46"/>
      <c r="F37" s="29" t="str">
        <f aca="false">A13</f>
        <v>Player 8</v>
      </c>
      <c r="G37" s="46"/>
      <c r="H37" s="29" t="str">
        <f aca="false">A17</f>
        <v>Player 12</v>
      </c>
      <c r="I37" s="46"/>
      <c r="J37" s="29" t="str">
        <f aca="false">A19</f>
        <v>Player 14</v>
      </c>
      <c r="K37" s="46"/>
      <c r="L37" s="29" t="str">
        <f aca="false">A16</f>
        <v>Player 11</v>
      </c>
      <c r="M37" s="46"/>
    </row>
    <row r="38" customFormat="false" ht="18" hidden="false" customHeight="true" outlineLevel="0" collapsed="false">
      <c r="A38" s="47" t="s">
        <v>368</v>
      </c>
      <c r="B38" s="47" t="s">
        <v>369</v>
      </c>
      <c r="C38" s="44"/>
      <c r="D38" s="47" t="s">
        <v>369</v>
      </c>
      <c r="E38" s="44"/>
      <c r="F38" s="47" t="s">
        <v>369</v>
      </c>
      <c r="G38" s="44"/>
      <c r="H38" s="47" t="s">
        <v>369</v>
      </c>
      <c r="I38" s="44"/>
      <c r="J38" s="47" t="s">
        <v>369</v>
      </c>
      <c r="K38" s="44"/>
      <c r="L38" s="47" t="s">
        <v>369</v>
      </c>
      <c r="M38" s="44"/>
    </row>
    <row r="39" customFormat="false" ht="21.75" hidden="false" customHeight="true" outlineLevel="0" collapsed="false">
      <c r="A39" s="43" t="s">
        <v>370</v>
      </c>
      <c r="B39" s="29" t="str">
        <f aca="false">A16</f>
        <v>Player 11</v>
      </c>
      <c r="C39" s="44"/>
      <c r="D39" s="29" t="str">
        <f aca="false">A12</f>
        <v>Player 7</v>
      </c>
      <c r="E39" s="44"/>
      <c r="F39" s="29" t="str">
        <f aca="false">A6</f>
        <v>Player 1</v>
      </c>
      <c r="G39" s="44"/>
      <c r="H39" s="29" t="str">
        <f aca="false">A19</f>
        <v>Player 14</v>
      </c>
      <c r="I39" s="44"/>
      <c r="J39" s="29" t="str">
        <f aca="false">A13</f>
        <v>Player 8</v>
      </c>
      <c r="K39" s="44"/>
      <c r="L39" s="29" t="str">
        <f aca="false">A17</f>
        <v>Player 12</v>
      </c>
      <c r="M39" s="44"/>
    </row>
    <row r="40" customFormat="false" ht="21.75" hidden="false" customHeight="true" outlineLevel="0" collapsed="false">
      <c r="A40" s="45"/>
      <c r="B40" s="29" t="str">
        <f aca="false">A11</f>
        <v>Player 6</v>
      </c>
      <c r="C40" s="46"/>
      <c r="D40" s="29" t="str">
        <f aca="false">A11</f>
        <v>Player 6</v>
      </c>
      <c r="E40" s="46"/>
      <c r="F40" s="29" t="str">
        <f aca="false">A16</f>
        <v>Player 11</v>
      </c>
      <c r="G40" s="46"/>
      <c r="H40" s="29" t="str">
        <f aca="false">A12</f>
        <v>Player 7</v>
      </c>
      <c r="I40" s="46"/>
      <c r="J40" s="29" t="str">
        <f aca="false">A7</f>
        <v>Player 2</v>
      </c>
      <c r="K40" s="46"/>
      <c r="L40" s="29" t="str">
        <f aca="false">A8</f>
        <v>Player 3</v>
      </c>
      <c r="M40" s="46"/>
    </row>
    <row r="42" customFormat="false" ht="21.75" hidden="false" customHeight="true" outlineLevel="0" collapsed="false">
      <c r="A42" s="48" t="s">
        <v>374</v>
      </c>
      <c r="B42" s="49" t="str">
        <f aca="false">A6&amp;", "&amp;A19</f>
        <v>Player 1, Player 14</v>
      </c>
      <c r="C42" s="49"/>
      <c r="D42" s="49" t="str">
        <f aca="false">A7&amp;", "&amp;A18</f>
        <v>Player 2, Player 13</v>
      </c>
      <c r="E42" s="49"/>
      <c r="F42" s="49" t="str">
        <f aca="false">A8&amp;", "&amp;A17</f>
        <v>Player 3, Player 12</v>
      </c>
      <c r="G42" s="49"/>
      <c r="H42" s="49" t="str">
        <f aca="false">A9&amp;", "&amp;A16</f>
        <v>Player 4, Player 11</v>
      </c>
      <c r="I42" s="49"/>
      <c r="J42" s="49" t="str">
        <f aca="false">A10&amp;", "&amp;A15</f>
        <v>Player 5, Player 10</v>
      </c>
      <c r="K42" s="49"/>
      <c r="L42" s="49" t="str">
        <f aca="false">A11&amp;", "&amp;A14</f>
        <v>Player 6, Player 9</v>
      </c>
      <c r="M42" s="49"/>
    </row>
  </sheetData>
  <mergeCells count="16">
    <mergeCell ref="A1:M1"/>
    <mergeCell ref="A2:M2"/>
    <mergeCell ref="A4:G4"/>
    <mergeCell ref="A21:M21"/>
    <mergeCell ref="B22:C22"/>
    <mergeCell ref="D22:E22"/>
    <mergeCell ref="F22:G22"/>
    <mergeCell ref="H22:I22"/>
    <mergeCell ref="J22:K22"/>
    <mergeCell ref="L22:M22"/>
    <mergeCell ref="B42:C42"/>
    <mergeCell ref="D42:E42"/>
    <mergeCell ref="F42:G42"/>
    <mergeCell ref="H42:I42"/>
    <mergeCell ref="J42:K42"/>
    <mergeCell ref="L42:M4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4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1" topLeftCell="A2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12"/>
    <col collapsed="false" customWidth="true" hidden="false" outlineLevel="0" max="3" min="3" style="0" width="7"/>
    <col collapsed="false" customWidth="true" hidden="false" outlineLevel="0" max="4" min="4" style="0" width="12"/>
    <col collapsed="false" customWidth="true" hidden="false" outlineLevel="0" max="5" min="5" style="0" width="7"/>
    <col collapsed="false" customWidth="true" hidden="false" outlineLevel="0" max="6" min="6" style="0" width="12"/>
    <col collapsed="false" customWidth="true" hidden="false" outlineLevel="0" max="7" min="7" style="0" width="7"/>
    <col collapsed="false" customWidth="true" hidden="false" outlineLevel="0" max="8" min="8" style="0" width="12"/>
    <col collapsed="false" customWidth="true" hidden="false" outlineLevel="0" max="9" min="9" style="0" width="7"/>
    <col collapsed="false" customWidth="true" hidden="false" outlineLevel="0" max="10" min="10" style="0" width="12"/>
    <col collapsed="false" customWidth="true" hidden="false" outlineLevel="0" max="11" min="11" style="0" width="7"/>
    <col collapsed="false" customWidth="true" hidden="false" outlineLevel="0" max="12" min="12" style="0" width="12"/>
    <col collapsed="false" customWidth="true" hidden="false" outlineLevel="0" max="13" min="13" style="0" width="7"/>
  </cols>
  <sheetData>
    <row r="1" customFormat="false" ht="22.05" hidden="false" customHeight="false" outlineLevel="0" collapsed="false">
      <c r="A1" s="36" t="s">
        <v>405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</row>
    <row r="2" customFormat="false" ht="15" hidden="false" customHeight="false" outlineLevel="0" collapsed="false">
      <c r="A2" s="37" t="s">
        <v>406</v>
      </c>
      <c r="B2" s="37"/>
      <c r="C2" s="37"/>
      <c r="D2" s="37"/>
      <c r="E2" s="37"/>
      <c r="F2" s="37"/>
      <c r="G2" s="37"/>
      <c r="H2" s="37"/>
      <c r="I2" s="37"/>
      <c r="J2" s="37"/>
      <c r="K2" s="37"/>
      <c r="L2" s="37"/>
      <c r="M2" s="37"/>
    </row>
    <row r="4" customFormat="false" ht="15" hidden="false" customHeight="true" outlineLevel="0" collapsed="false">
      <c r="A4" s="18" t="s">
        <v>346</v>
      </c>
      <c r="B4" s="18"/>
      <c r="C4" s="18"/>
      <c r="D4" s="18"/>
      <c r="E4" s="18"/>
      <c r="F4" s="18"/>
      <c r="G4" s="18"/>
    </row>
    <row r="5" customFormat="false" ht="21.75" hidden="false" customHeight="true" outlineLevel="0" collapsed="false">
      <c r="A5" s="38" t="s">
        <v>347</v>
      </c>
      <c r="B5" s="38" t="s">
        <v>348</v>
      </c>
      <c r="C5" s="38" t="s">
        <v>349</v>
      </c>
      <c r="D5" s="38" t="s">
        <v>350</v>
      </c>
      <c r="E5" s="38" t="s">
        <v>351</v>
      </c>
      <c r="F5" s="38" t="s">
        <v>352</v>
      </c>
      <c r="G5" s="38" t="s">
        <v>353</v>
      </c>
    </row>
    <row r="6" customFormat="false" ht="15" hidden="false" customHeight="false" outlineLevel="0" collapsed="false">
      <c r="A6" s="39" t="s">
        <v>354</v>
      </c>
      <c r="B6" s="40" t="n">
        <f aca="false">IF(E32&gt;E35,1,0)+IF(I32&gt;I35,1,0)+IF(K35&gt;K32,1,0)+IF(G38&gt;G41,1,0)+IF(M41&gt;M38,1,0)</f>
        <v>0</v>
      </c>
      <c r="C6" s="40" t="n">
        <f aca="false">N(E32)+N(I32)+N(K35)+N(G38)+N(M41)</f>
        <v>0</v>
      </c>
      <c r="D6" s="40" t="n">
        <f aca="false">N(E35)+N(I35)+N(K32)+N(G41)+N(M38)</f>
        <v>0</v>
      </c>
      <c r="E6" s="40" t="n">
        <f aca="false">C6-D6</f>
        <v>0</v>
      </c>
      <c r="F6" s="40" t="n">
        <f aca="false">RANK(B6,$B$6:$B$20)+SUMPRODUCT(($B$6:$B$20=B6)*($E$6:$E$20&gt;E6))</f>
        <v>1</v>
      </c>
      <c r="G6" s="40" t="n">
        <f aca="false">IF(N(E32)+N(E35)&gt;0,1,0)+IF(N(I32)+N(I35)&gt;0,1,0)+IF(N(K35)+N(K32)&gt;0,1,0)+IF(N(G38)+N(G41)&gt;0,1,0)+IF(N(M41)+N(M38)&gt;0,1,0)</f>
        <v>0</v>
      </c>
    </row>
    <row r="7" customFormat="false" ht="15" hidden="false" customHeight="false" outlineLevel="0" collapsed="false">
      <c r="A7" s="39" t="s">
        <v>355</v>
      </c>
      <c r="B7" s="40" t="n">
        <f aca="false">IF(E29&gt;E26,1,0)+IF(G26&gt;G29,1,0)+IF(K32&gt;K35,1,0)+IF(I38&gt;I41,1,0)+IF(M38&gt;M41,1,0)</f>
        <v>0</v>
      </c>
      <c r="C7" s="40" t="n">
        <f aca="false">N(E29)+N(G26)+N(K32)+N(I38)+N(M38)</f>
        <v>0</v>
      </c>
      <c r="D7" s="40" t="n">
        <f aca="false">N(E26)+N(G29)+N(K35)+N(I41)+N(M41)</f>
        <v>0</v>
      </c>
      <c r="E7" s="40" t="n">
        <f aca="false">C7-D7</f>
        <v>0</v>
      </c>
      <c r="F7" s="40" t="n">
        <f aca="false">RANK(B7,$B$6:$B$20)+SUMPRODUCT(($B$6:$B$20=B7)*($E$6:$E$20&gt;E7))</f>
        <v>1</v>
      </c>
      <c r="G7" s="40" t="n">
        <f aca="false">IF(N(E29)+N(E26)&gt;0,1,0)+IF(N(G26)+N(G29)&gt;0,1,0)+IF(N(K32)+N(K35)&gt;0,1,0)+IF(N(I38)+N(I41)&gt;0,1,0)+IF(N(M38)+N(M41)&gt;0,1,0)</f>
        <v>0</v>
      </c>
    </row>
    <row r="8" customFormat="false" ht="15" hidden="false" customHeight="false" outlineLevel="0" collapsed="false">
      <c r="A8" s="39" t="s">
        <v>356</v>
      </c>
      <c r="B8" s="40" t="n">
        <f aca="false">IF(C26&gt;C29,1,0)+IF(G29&gt;G26,1,0)+IF(M29&gt;M26,1,0)+IF(I35&gt;I32,1,0)+IF(K38&gt;K41,1,0)</f>
        <v>0</v>
      </c>
      <c r="C8" s="40" t="n">
        <f aca="false">N(C26)+N(G29)+N(M29)+N(I35)+N(K38)</f>
        <v>0</v>
      </c>
      <c r="D8" s="40" t="n">
        <f aca="false">N(C29)+N(G26)+N(M26)+N(I32)+N(K41)</f>
        <v>0</v>
      </c>
      <c r="E8" s="40" t="n">
        <f aca="false">C8-D8</f>
        <v>0</v>
      </c>
      <c r="F8" s="40" t="n">
        <f aca="false">RANK(B8,$B$6:$B$20)+SUMPRODUCT(($B$6:$B$20=B8)*($E$6:$E$20&gt;E8))</f>
        <v>1</v>
      </c>
      <c r="G8" s="40" t="n">
        <f aca="false">IF(N(C26)+N(C29)&gt;0,1,0)+IF(N(G29)+N(G26)&gt;0,1,0)+IF(N(M29)+N(M26)&gt;0,1,0)+IF(N(I35)+N(I32)&gt;0,1,0)+IF(N(K38)+N(K41)&gt;0,1,0)</f>
        <v>0</v>
      </c>
    </row>
    <row r="9" customFormat="false" ht="15" hidden="false" customHeight="false" outlineLevel="0" collapsed="false">
      <c r="A9" s="39" t="s">
        <v>357</v>
      </c>
      <c r="B9" s="40" t="n">
        <f aca="false">IF(I29&gt;I26,1,0)+IF(K26&gt;K29,1,0)+IF(M26&gt;M29,1,0)+IF(C35&gt;C32,1,0)+IF(G41&gt;G38,1,0)</f>
        <v>0</v>
      </c>
      <c r="C9" s="40" t="n">
        <f aca="false">N(I29)+N(K26)+N(M26)+N(C35)+N(G41)</f>
        <v>0</v>
      </c>
      <c r="D9" s="40" t="n">
        <f aca="false">N(I26)+N(K29)+N(M29)+N(C32)+N(G38)</f>
        <v>0</v>
      </c>
      <c r="E9" s="40" t="n">
        <f aca="false">C9-D9</f>
        <v>0</v>
      </c>
      <c r="F9" s="40" t="n">
        <f aca="false">RANK(B9,$B$6:$B$20)+SUMPRODUCT(($B$6:$B$20=B9)*($E$6:$E$20&gt;E9))</f>
        <v>1</v>
      </c>
      <c r="G9" s="40" t="n">
        <f aca="false">IF(N(I29)+N(I26)&gt;0,1,0)+IF(N(K26)+N(K29)&gt;0,1,0)+IF(N(M26)+N(M29)&gt;0,1,0)+IF(N(C35)+N(C32)&gt;0,1,0)+IF(N(G41)+N(G38)&gt;0,1,0)</f>
        <v>0</v>
      </c>
    </row>
    <row r="10" customFormat="false" ht="15" hidden="false" customHeight="false" outlineLevel="0" collapsed="false">
      <c r="A10" s="39" t="s">
        <v>373</v>
      </c>
      <c r="B10" s="40" t="n">
        <f aca="false">IF(I29&gt;I26,1,0)+IF(E35&gt;E32,1,0)+IF(K32&gt;K35,1,0)+IF(M32&gt;M35,1,0)+IF(C41&gt;C38,1,0)</f>
        <v>0</v>
      </c>
      <c r="C10" s="40" t="n">
        <f aca="false">N(I29)+N(E35)+N(K32)+N(M32)+N(C41)</f>
        <v>0</v>
      </c>
      <c r="D10" s="40" t="n">
        <f aca="false">N(I26)+N(E32)+N(K35)+N(M35)+N(C38)</f>
        <v>0</v>
      </c>
      <c r="E10" s="40" t="n">
        <f aca="false">C10-D10</f>
        <v>0</v>
      </c>
      <c r="F10" s="40" t="n">
        <f aca="false">RANK(B10,$B$6:$B$20)+SUMPRODUCT(($B$6:$B$20=B10)*($E$6:$E$20&gt;E10))</f>
        <v>1</v>
      </c>
      <c r="G10" s="40" t="n">
        <f aca="false">IF(N(I29)+N(I26)&gt;0,1,0)+IF(N(E35)+N(E32)&gt;0,1,0)+IF(N(K32)+N(K35)&gt;0,1,0)+IF(N(M32)+N(M35)&gt;0,1,0)+IF(N(C41)+N(C38)&gt;0,1,0)</f>
        <v>0</v>
      </c>
    </row>
    <row r="11" customFormat="false" ht="15" hidden="false" customHeight="false" outlineLevel="0" collapsed="false">
      <c r="A11" s="39" t="s">
        <v>377</v>
      </c>
      <c r="B11" s="40" t="n">
        <f aca="false">IF(M26&gt;M29,1,0)+IF(C32&gt;C35,1,0)+IF(I32&gt;I35,1,0)+IF(E41&gt;E38,1,0)+IF(K38&gt;K41,1,0)</f>
        <v>0</v>
      </c>
      <c r="C11" s="40" t="n">
        <f aca="false">N(M26)+N(C32)+N(I32)+N(E41)+N(K38)</f>
        <v>0</v>
      </c>
      <c r="D11" s="40" t="n">
        <f aca="false">N(M29)+N(C35)+N(I35)+N(E38)+N(K41)</f>
        <v>0</v>
      </c>
      <c r="E11" s="40" t="n">
        <f aca="false">C11-D11</f>
        <v>0</v>
      </c>
      <c r="F11" s="40" t="n">
        <f aca="false">RANK(B11,$B$6:$B$20)+SUMPRODUCT(($B$6:$B$20=B11)*($E$6:$E$20&gt;E11))</f>
        <v>1</v>
      </c>
      <c r="G11" s="40" t="n">
        <f aca="false">IF(N(M26)+N(M29)&gt;0,1,0)+IF(N(C32)+N(C35)&gt;0,1,0)+IF(N(I32)+N(I35)&gt;0,1,0)+IF(N(E41)+N(E38)&gt;0,1,0)+IF(N(K38)+N(K41)&gt;0,1,0)</f>
        <v>0</v>
      </c>
    </row>
    <row r="12" customFormat="false" ht="15" hidden="false" customHeight="false" outlineLevel="0" collapsed="false">
      <c r="A12" s="39" t="s">
        <v>380</v>
      </c>
      <c r="B12" s="40" t="n">
        <f aca="false">IF(G26&gt;G29,1,0)+IF(E32&gt;E35,1,0)+IF(M35&gt;M32,1,0)+IF(C41&gt;C38,1,0)+IF(K41&gt;K38,1,0)</f>
        <v>0</v>
      </c>
      <c r="C12" s="40" t="n">
        <f aca="false">N(G26)+N(E32)+N(M35)+N(C41)+N(K41)</f>
        <v>0</v>
      </c>
      <c r="D12" s="40" t="n">
        <f aca="false">N(G29)+N(E35)+N(M32)+N(C38)+N(K38)</f>
        <v>0</v>
      </c>
      <c r="E12" s="40" t="n">
        <f aca="false">C12-D12</f>
        <v>0</v>
      </c>
      <c r="F12" s="40" t="n">
        <f aca="false">RANK(B12,$B$6:$B$20)+SUMPRODUCT(($B$6:$B$20=B12)*($E$6:$E$20&gt;E12))</f>
        <v>1</v>
      </c>
      <c r="G12" s="40" t="n">
        <f aca="false">IF(N(G26)+N(G29)&gt;0,1,0)+IF(N(E32)+N(E35)&gt;0,1,0)+IF(N(M35)+N(M32)&gt;0,1,0)+IF(N(C41)+N(C38)&gt;0,1,0)+IF(N(K41)+N(K38)&gt;0,1,0)</f>
        <v>0</v>
      </c>
    </row>
    <row r="13" customFormat="false" ht="15" hidden="false" customHeight="false" outlineLevel="0" collapsed="false">
      <c r="A13" s="39" t="s">
        <v>384</v>
      </c>
      <c r="B13" s="40" t="n">
        <f aca="false">IF(G35&gt;G32,1,0)+IF(K35&gt;K32,1,0)+IF(M32&gt;M35,1,0)+IF(C38&gt;C41,1,0)+IF(E38&gt;E41,1,0)</f>
        <v>0</v>
      </c>
      <c r="C13" s="40" t="n">
        <f aca="false">N(G35)+N(K35)+N(M32)+N(C38)+N(E38)</f>
        <v>0</v>
      </c>
      <c r="D13" s="40" t="n">
        <f aca="false">N(G32)+N(K32)+N(M35)+N(C41)+N(E41)</f>
        <v>0</v>
      </c>
      <c r="E13" s="40" t="n">
        <f aca="false">C13-D13</f>
        <v>0</v>
      </c>
      <c r="F13" s="40" t="n">
        <f aca="false">RANK(B13,$B$6:$B$20)+SUMPRODUCT(($B$6:$B$20=B13)*($E$6:$E$20&gt;E13))</f>
        <v>1</v>
      </c>
      <c r="G13" s="40" t="n">
        <f aca="false">IF(N(G35)+N(G32)&gt;0,1,0)+IF(N(K35)+N(K32)&gt;0,1,0)+IF(N(M32)+N(M35)&gt;0,1,0)+IF(N(C38)+N(C41)&gt;0,1,0)+IF(N(E38)+N(E41)&gt;0,1,0)</f>
        <v>0</v>
      </c>
    </row>
    <row r="14" customFormat="false" ht="15" hidden="false" customHeight="false" outlineLevel="0" collapsed="false">
      <c r="A14" s="39" t="s">
        <v>388</v>
      </c>
      <c r="B14" s="40" t="n">
        <f aca="false">IF(E29&gt;E26,1,0)+IF(G32&gt;G35,1,0)+IF(I35&gt;I32,1,0)+IF(M35&gt;M32,1,0)+IF(C38&gt;C41,1,0)</f>
        <v>0</v>
      </c>
      <c r="C14" s="40" t="n">
        <f aca="false">N(E29)+N(G32)+N(I35)+N(M35)+N(C38)</f>
        <v>0</v>
      </c>
      <c r="D14" s="40" t="n">
        <f aca="false">N(E26)+N(G35)+N(I32)+N(M32)+N(C41)</f>
        <v>0</v>
      </c>
      <c r="E14" s="40" t="n">
        <f aca="false">C14-D14</f>
        <v>0</v>
      </c>
      <c r="F14" s="40" t="n">
        <f aca="false">RANK(B14,$B$6:$B$20)+SUMPRODUCT(($B$6:$B$20=B14)*($E$6:$E$20&gt;E14))</f>
        <v>1</v>
      </c>
      <c r="G14" s="40" t="n">
        <f aca="false">IF(N(E29)+N(E26)&gt;0,1,0)+IF(N(G32)+N(G35)&gt;0,1,0)+IF(N(I35)+N(I32)&gt;0,1,0)+IF(N(M35)+N(M32)&gt;0,1,0)+IF(N(C38)+N(C41)&gt;0,1,0)</f>
        <v>0</v>
      </c>
    </row>
    <row r="15" customFormat="false" ht="15" hidden="false" customHeight="false" outlineLevel="0" collapsed="false">
      <c r="A15" s="39" t="s">
        <v>391</v>
      </c>
      <c r="B15" s="40" t="n">
        <f aca="false">IF(I26&gt;I29,1,0)+IF(C35&gt;C32,1,0)+IF(E35&gt;E32,1,0)+IF(G35&gt;G32,1,0)</f>
        <v>0</v>
      </c>
      <c r="C15" s="40" t="n">
        <f aca="false">N(I26)+N(C35)+N(E35)+N(G35)</f>
        <v>0</v>
      </c>
      <c r="D15" s="40" t="n">
        <f aca="false">N(I29)+N(C32)+N(E32)+N(G32)</f>
        <v>0</v>
      </c>
      <c r="E15" s="40" t="n">
        <f aca="false">C15-D15</f>
        <v>0</v>
      </c>
      <c r="F15" s="40" t="n">
        <f aca="false">RANK(B15,$B$6:$B$20)+SUMPRODUCT(($B$6:$B$20=B15)*($E$6:$E$20&gt;E15))</f>
        <v>1</v>
      </c>
      <c r="G15" s="40" t="n">
        <f aca="false">IF(N(I26)+N(I29)&gt;0,1,0)+IF(N(C35)+N(C32)&gt;0,1,0)+IF(N(E35)+N(E32)&gt;0,1,0)+IF(N(G35)+N(G32)&gt;0,1,0)</f>
        <v>0</v>
      </c>
    </row>
    <row r="16" customFormat="false" ht="15" hidden="false" customHeight="false" outlineLevel="0" collapsed="false">
      <c r="A16" s="39" t="s">
        <v>394</v>
      </c>
      <c r="B16" s="40" t="n">
        <f aca="false">IF(C29&gt;C26,1,0)+IF(G32&gt;G35,1,0)+IF(E38&gt;E41,1,0)+IF(I41&gt;I38,1,0)</f>
        <v>0</v>
      </c>
      <c r="C16" s="40" t="n">
        <f aca="false">N(C29)+N(G32)+N(E38)+N(I41)</f>
        <v>0</v>
      </c>
      <c r="D16" s="40" t="n">
        <f aca="false">N(C26)+N(G35)+N(E41)+N(I38)</f>
        <v>0</v>
      </c>
      <c r="E16" s="40" t="n">
        <f aca="false">C16-D16</f>
        <v>0</v>
      </c>
      <c r="F16" s="40" t="n">
        <f aca="false">RANK(B16,$B$6:$B$20)+SUMPRODUCT(($B$6:$B$20=B16)*($E$6:$E$20&gt;E16))</f>
        <v>1</v>
      </c>
      <c r="G16" s="40" t="n">
        <f aca="false">IF(N(C29)+N(C26)&gt;0,1,0)+IF(N(G32)+N(G35)&gt;0,1,0)+IF(N(E38)+N(E41)&gt;0,1,0)+IF(N(I41)+N(I38)&gt;0,1,0)</f>
        <v>0</v>
      </c>
    </row>
    <row r="17" customFormat="false" ht="15" hidden="false" customHeight="false" outlineLevel="0" collapsed="false">
      <c r="A17" s="39" t="s">
        <v>397</v>
      </c>
      <c r="B17" s="40" t="n">
        <f aca="false">IF(C29&gt;C26,1,0)+IF(E26&gt;E29,1,0)+IF(K29&gt;K26,1,0)+IF(G41&gt;G38,1,0)</f>
        <v>0</v>
      </c>
      <c r="C17" s="40" t="n">
        <f aca="false">N(C29)+N(E26)+N(K29)+N(G41)</f>
        <v>0</v>
      </c>
      <c r="D17" s="40" t="n">
        <f aca="false">N(C26)+N(E29)+N(K26)+N(G38)</f>
        <v>0</v>
      </c>
      <c r="E17" s="40" t="n">
        <f aca="false">C17-D17</f>
        <v>0</v>
      </c>
      <c r="F17" s="40" t="n">
        <f aca="false">RANK(B17,$B$6:$B$20)+SUMPRODUCT(($B$6:$B$20=B17)*($E$6:$E$20&gt;E17))</f>
        <v>1</v>
      </c>
      <c r="G17" s="40" t="n">
        <f aca="false">IF(N(C29)+N(C26)&gt;0,1,0)+IF(N(E26)+N(E29)&gt;0,1,0)+IF(N(K29)+N(K26)&gt;0,1,0)+IF(N(G41)+N(G38)&gt;0,1,0)</f>
        <v>0</v>
      </c>
    </row>
    <row r="18" customFormat="false" ht="15" hidden="false" customHeight="false" outlineLevel="0" collapsed="false">
      <c r="A18" s="39" t="s">
        <v>401</v>
      </c>
      <c r="B18" s="40" t="n">
        <f aca="false">IF(C26&gt;C29,1,0)+IF(E26&gt;E29,1,0)+IF(I26&gt;I29,1,0)+IF(K41&gt;K38,1,0)+IF(M38&gt;M41,1,0)</f>
        <v>0</v>
      </c>
      <c r="C18" s="40" t="n">
        <f aca="false">N(C26)+N(E26)+N(I26)+N(K41)+N(M38)</f>
        <v>0</v>
      </c>
      <c r="D18" s="40" t="n">
        <f aca="false">N(C29)+N(E29)+N(I29)+N(K38)+N(M41)</f>
        <v>0</v>
      </c>
      <c r="E18" s="40" t="n">
        <f aca="false">C18-D18</f>
        <v>0</v>
      </c>
      <c r="F18" s="40" t="n">
        <f aca="false">RANK(B18,$B$6:$B$20)+SUMPRODUCT(($B$6:$B$20=B18)*($E$6:$E$20&gt;E18))</f>
        <v>1</v>
      </c>
      <c r="G18" s="40" t="n">
        <f aca="false">IF(N(C26)+N(C29)&gt;0,1,0)+IF(N(E26)+N(E29)&gt;0,1,0)+IF(N(I26)+N(I29)&gt;0,1,0)+IF(N(K41)+N(K38)&gt;0,1,0)+IF(N(M38)+N(M41)&gt;0,1,0)</f>
        <v>0</v>
      </c>
    </row>
    <row r="19" customFormat="false" ht="15" hidden="false" customHeight="false" outlineLevel="0" collapsed="false">
      <c r="A19" s="39" t="s">
        <v>404</v>
      </c>
      <c r="B19" s="40" t="n">
        <f aca="false">IF(G29&gt;G26,1,0)+IF(K29&gt;K26,1,0)+IF(C32&gt;C35,1,0)+IF(I38&gt;I41,1,0)+IF(M41&gt;M38,1,0)</f>
        <v>0</v>
      </c>
      <c r="C19" s="40" t="n">
        <f aca="false">N(G29)+N(K29)+N(C32)+N(I38)+N(M41)</f>
        <v>0</v>
      </c>
      <c r="D19" s="40" t="n">
        <f aca="false">N(G26)+N(K26)+N(C35)+N(I41)+N(M38)</f>
        <v>0</v>
      </c>
      <c r="E19" s="40" t="n">
        <f aca="false">C19-D19</f>
        <v>0</v>
      </c>
      <c r="F19" s="40" t="n">
        <f aca="false">RANK(B19,$B$6:$B$20)+SUMPRODUCT(($B$6:$B$20=B19)*($E$6:$E$20&gt;E19))</f>
        <v>1</v>
      </c>
      <c r="G19" s="40" t="n">
        <f aca="false">IF(N(G29)+N(G26)&gt;0,1,0)+IF(N(K29)+N(K26)&gt;0,1,0)+IF(N(C32)+N(C35)&gt;0,1,0)+IF(N(I38)+N(I41)&gt;0,1,0)+IF(N(M41)+N(M38)&gt;0,1,0)</f>
        <v>0</v>
      </c>
    </row>
    <row r="20" customFormat="false" ht="15" hidden="false" customHeight="false" outlineLevel="0" collapsed="false">
      <c r="A20" s="39" t="s">
        <v>407</v>
      </c>
      <c r="B20" s="40" t="n">
        <f aca="false">IF(K26&gt;K29,1,0)+IF(M29&gt;M26,1,0)+IF(E41&gt;E38,1,0)+IF(G38&gt;G41,1,0)+IF(I41&gt;I38,1,0)</f>
        <v>0</v>
      </c>
      <c r="C20" s="40" t="n">
        <f aca="false">N(K26)+N(M29)+N(E41)+N(G38)+N(I41)</f>
        <v>0</v>
      </c>
      <c r="D20" s="40" t="n">
        <f aca="false">N(K29)+N(M26)+N(E38)+N(G41)+N(I38)</f>
        <v>0</v>
      </c>
      <c r="E20" s="40" t="n">
        <f aca="false">C20-D20</f>
        <v>0</v>
      </c>
      <c r="F20" s="40" t="n">
        <f aca="false">RANK(B20,$B$6:$B$20)+SUMPRODUCT(($B$6:$B$20=B20)*($E$6:$E$20&gt;E20))</f>
        <v>1</v>
      </c>
      <c r="G20" s="40" t="n">
        <f aca="false">IF(N(K26)+N(K29)&gt;0,1,0)+IF(N(M29)+N(M26)&gt;0,1,0)+IF(N(E41)+N(E38)&gt;0,1,0)+IF(N(G38)+N(G41)&gt;0,1,0)+IF(N(I41)+N(I38)&gt;0,1,0)</f>
        <v>0</v>
      </c>
    </row>
    <row r="22" customFormat="false" ht="15" hidden="false" customHeight="true" outlineLevel="0" collapsed="false">
      <c r="A22" s="18" t="s">
        <v>358</v>
      </c>
      <c r="B22" s="18"/>
      <c r="C22" s="18"/>
      <c r="D22" s="18"/>
      <c r="E22" s="18"/>
      <c r="F22" s="18"/>
      <c r="G22" s="18"/>
      <c r="H22" s="18"/>
      <c r="I22" s="18"/>
      <c r="J22" s="18"/>
      <c r="K22" s="18"/>
      <c r="L22" s="18"/>
      <c r="M22" s="18"/>
    </row>
    <row r="23" customFormat="false" ht="21.75" hidden="false" customHeight="true" outlineLevel="0" collapsed="false">
      <c r="A23" s="38" t="s">
        <v>359</v>
      </c>
      <c r="B23" s="41" t="s">
        <v>360</v>
      </c>
      <c r="C23" s="41"/>
      <c r="D23" s="41" t="s">
        <v>361</v>
      </c>
      <c r="E23" s="41"/>
      <c r="F23" s="41" t="s">
        <v>362</v>
      </c>
      <c r="G23" s="41"/>
      <c r="H23" s="41" t="s">
        <v>363</v>
      </c>
      <c r="I23" s="41"/>
      <c r="J23" s="41" t="s">
        <v>364</v>
      </c>
      <c r="K23" s="41"/>
      <c r="L23" s="41" t="s">
        <v>365</v>
      </c>
      <c r="M23" s="41"/>
    </row>
    <row r="24" customFormat="false" ht="21.75" hidden="false" customHeight="true" outlineLevel="0" collapsed="false">
      <c r="A24" s="42" t="s">
        <v>366</v>
      </c>
    </row>
    <row r="25" customFormat="false" ht="21.75" hidden="false" customHeight="true" outlineLevel="0" collapsed="false">
      <c r="A25" s="43" t="s">
        <v>367</v>
      </c>
      <c r="B25" s="29" t="str">
        <f aca="false">A18</f>
        <v>Player 13</v>
      </c>
      <c r="C25" s="44"/>
      <c r="D25" s="29" t="str">
        <f aca="false">A18</f>
        <v>Player 13</v>
      </c>
      <c r="E25" s="44"/>
      <c r="F25" s="29" t="str">
        <f aca="false">A7</f>
        <v>Player 2</v>
      </c>
      <c r="G25" s="44"/>
      <c r="H25" s="29" t="str">
        <f aca="false">A15</f>
        <v>Player 10</v>
      </c>
      <c r="I25" s="44"/>
      <c r="J25" s="29" t="str">
        <f aca="false">A9</f>
        <v>Player 4</v>
      </c>
      <c r="K25" s="44"/>
      <c r="L25" s="29" t="str">
        <f aca="false">A11</f>
        <v>Player 6</v>
      </c>
      <c r="M25" s="44"/>
    </row>
    <row r="26" customFormat="false" ht="21.75" hidden="false" customHeight="true" outlineLevel="0" collapsed="false">
      <c r="A26" s="45"/>
      <c r="B26" s="29" t="str">
        <f aca="false">A8</f>
        <v>Player 3</v>
      </c>
      <c r="C26" s="46"/>
      <c r="D26" s="29" t="str">
        <f aca="false">A17</f>
        <v>Player 12</v>
      </c>
      <c r="E26" s="46"/>
      <c r="F26" s="29" t="str">
        <f aca="false">A12</f>
        <v>Player 7</v>
      </c>
      <c r="G26" s="46"/>
      <c r="H26" s="29" t="str">
        <f aca="false">A18</f>
        <v>Player 13</v>
      </c>
      <c r="I26" s="46"/>
      <c r="J26" s="29" t="str">
        <f aca="false">A20</f>
        <v>Player 15</v>
      </c>
      <c r="K26" s="46"/>
      <c r="L26" s="29" t="str">
        <f aca="false">A9</f>
        <v>Player 4</v>
      </c>
      <c r="M26" s="46"/>
    </row>
    <row r="27" customFormat="false" ht="18" hidden="false" customHeight="true" outlineLevel="0" collapsed="false">
      <c r="A27" s="47" t="s">
        <v>368</v>
      </c>
      <c r="B27" s="47" t="s">
        <v>369</v>
      </c>
      <c r="C27" s="44"/>
      <c r="D27" s="47" t="s">
        <v>369</v>
      </c>
      <c r="E27" s="44"/>
      <c r="F27" s="47" t="s">
        <v>369</v>
      </c>
      <c r="G27" s="44"/>
      <c r="H27" s="47" t="s">
        <v>369</v>
      </c>
      <c r="I27" s="44"/>
      <c r="J27" s="47" t="s">
        <v>369</v>
      </c>
      <c r="K27" s="44"/>
      <c r="L27" s="47" t="s">
        <v>369</v>
      </c>
      <c r="M27" s="44"/>
    </row>
    <row r="28" customFormat="false" ht="21.75" hidden="false" customHeight="true" outlineLevel="0" collapsed="false">
      <c r="A28" s="43" t="s">
        <v>370</v>
      </c>
      <c r="B28" s="29" t="str">
        <f aca="false">A17</f>
        <v>Player 12</v>
      </c>
      <c r="C28" s="44"/>
      <c r="D28" s="29" t="str">
        <f aca="false">A14</f>
        <v>Player 9</v>
      </c>
      <c r="E28" s="44"/>
      <c r="F28" s="29" t="str">
        <f aca="false">A19</f>
        <v>Player 14</v>
      </c>
      <c r="G28" s="44"/>
      <c r="H28" s="29" t="str">
        <f aca="false">A9</f>
        <v>Player 4</v>
      </c>
      <c r="I28" s="44"/>
      <c r="J28" s="29" t="str">
        <f aca="false">A19</f>
        <v>Player 14</v>
      </c>
      <c r="K28" s="44"/>
      <c r="L28" s="29" t="str">
        <f aca="false">A20</f>
        <v>Player 15</v>
      </c>
      <c r="M28" s="44"/>
    </row>
    <row r="29" customFormat="false" ht="21.75" hidden="false" customHeight="true" outlineLevel="0" collapsed="false">
      <c r="A29" s="45"/>
      <c r="B29" s="29" t="str">
        <f aca="false">A16</f>
        <v>Player 11</v>
      </c>
      <c r="C29" s="46"/>
      <c r="D29" s="29" t="str">
        <f aca="false">A7</f>
        <v>Player 2</v>
      </c>
      <c r="E29" s="46"/>
      <c r="F29" s="29" t="str">
        <f aca="false">A8</f>
        <v>Player 3</v>
      </c>
      <c r="G29" s="46"/>
      <c r="H29" s="29" t="str">
        <f aca="false">A10</f>
        <v>Player 5</v>
      </c>
      <c r="I29" s="46"/>
      <c r="J29" s="29" t="str">
        <f aca="false">A17</f>
        <v>Player 12</v>
      </c>
      <c r="K29" s="46"/>
      <c r="L29" s="29" t="str">
        <f aca="false">A8</f>
        <v>Player 3</v>
      </c>
      <c r="M29" s="46"/>
    </row>
    <row r="30" customFormat="false" ht="21.75" hidden="false" customHeight="true" outlineLevel="0" collapsed="false">
      <c r="A30" s="42" t="s">
        <v>385</v>
      </c>
    </row>
    <row r="31" customFormat="false" ht="21.75" hidden="false" customHeight="true" outlineLevel="0" collapsed="false">
      <c r="A31" s="43" t="s">
        <v>367</v>
      </c>
      <c r="B31" s="29" t="str">
        <f aca="false">A19</f>
        <v>Player 14</v>
      </c>
      <c r="C31" s="44"/>
      <c r="D31" s="29" t="str">
        <f aca="false">A6</f>
        <v>Player 1</v>
      </c>
      <c r="E31" s="44"/>
      <c r="F31" s="29" t="str">
        <f aca="false">A16</f>
        <v>Player 11</v>
      </c>
      <c r="G31" s="44"/>
      <c r="H31" s="29" t="str">
        <f aca="false">A11</f>
        <v>Player 6</v>
      </c>
      <c r="I31" s="44"/>
      <c r="J31" s="29" t="str">
        <f aca="false">A7</f>
        <v>Player 2</v>
      </c>
      <c r="K31" s="44"/>
      <c r="L31" s="29" t="str">
        <f aca="false">A13</f>
        <v>Player 8</v>
      </c>
      <c r="M31" s="44"/>
    </row>
    <row r="32" customFormat="false" ht="21.75" hidden="false" customHeight="true" outlineLevel="0" collapsed="false">
      <c r="A32" s="45"/>
      <c r="B32" s="29" t="str">
        <f aca="false">A11</f>
        <v>Player 6</v>
      </c>
      <c r="C32" s="46"/>
      <c r="D32" s="29" t="str">
        <f aca="false">A12</f>
        <v>Player 7</v>
      </c>
      <c r="E32" s="46"/>
      <c r="F32" s="29" t="str">
        <f aca="false">A14</f>
        <v>Player 9</v>
      </c>
      <c r="G32" s="46"/>
      <c r="H32" s="29" t="str">
        <f aca="false">A6</f>
        <v>Player 1</v>
      </c>
      <c r="I32" s="46"/>
      <c r="J32" s="29" t="str">
        <f aca="false">A10</f>
        <v>Player 5</v>
      </c>
      <c r="K32" s="46"/>
      <c r="L32" s="29" t="str">
        <f aca="false">A10</f>
        <v>Player 5</v>
      </c>
      <c r="M32" s="46"/>
    </row>
    <row r="33" customFormat="false" ht="18" hidden="false" customHeight="true" outlineLevel="0" collapsed="false">
      <c r="A33" s="47" t="s">
        <v>368</v>
      </c>
      <c r="B33" s="47" t="s">
        <v>369</v>
      </c>
      <c r="C33" s="44"/>
      <c r="D33" s="47" t="s">
        <v>369</v>
      </c>
      <c r="E33" s="44"/>
      <c r="F33" s="47" t="s">
        <v>369</v>
      </c>
      <c r="G33" s="44"/>
      <c r="H33" s="47" t="s">
        <v>369</v>
      </c>
      <c r="I33" s="44"/>
      <c r="J33" s="47" t="s">
        <v>369</v>
      </c>
      <c r="K33" s="44"/>
      <c r="L33" s="47" t="s">
        <v>369</v>
      </c>
      <c r="M33" s="44"/>
    </row>
    <row r="34" customFormat="false" ht="21.75" hidden="false" customHeight="true" outlineLevel="0" collapsed="false">
      <c r="A34" s="43" t="s">
        <v>370</v>
      </c>
      <c r="B34" s="29" t="str">
        <f aca="false">A15</f>
        <v>Player 10</v>
      </c>
      <c r="C34" s="44"/>
      <c r="D34" s="29" t="str">
        <f aca="false">A10</f>
        <v>Player 5</v>
      </c>
      <c r="E34" s="44"/>
      <c r="F34" s="29" t="str">
        <f aca="false">A15</f>
        <v>Player 10</v>
      </c>
      <c r="G34" s="44"/>
      <c r="H34" s="29" t="str">
        <f aca="false">A8</f>
        <v>Player 3</v>
      </c>
      <c r="I34" s="44"/>
      <c r="J34" s="29" t="str">
        <f aca="false">A6</f>
        <v>Player 1</v>
      </c>
      <c r="K34" s="44"/>
      <c r="L34" s="29" t="str">
        <f aca="false">A12</f>
        <v>Player 7</v>
      </c>
      <c r="M34" s="44"/>
    </row>
    <row r="35" customFormat="false" ht="21.75" hidden="false" customHeight="true" outlineLevel="0" collapsed="false">
      <c r="A35" s="45"/>
      <c r="B35" s="29" t="str">
        <f aca="false">A9</f>
        <v>Player 4</v>
      </c>
      <c r="C35" s="46"/>
      <c r="D35" s="29" t="str">
        <f aca="false">A15</f>
        <v>Player 10</v>
      </c>
      <c r="E35" s="46"/>
      <c r="F35" s="29" t="str">
        <f aca="false">A13</f>
        <v>Player 8</v>
      </c>
      <c r="G35" s="46"/>
      <c r="H35" s="29" t="str">
        <f aca="false">A14</f>
        <v>Player 9</v>
      </c>
      <c r="I35" s="46"/>
      <c r="J35" s="29" t="str">
        <f aca="false">A13</f>
        <v>Player 8</v>
      </c>
      <c r="K35" s="46"/>
      <c r="L35" s="29" t="str">
        <f aca="false">A14</f>
        <v>Player 9</v>
      </c>
      <c r="M35" s="46"/>
    </row>
    <row r="36" customFormat="false" ht="21.75" hidden="false" customHeight="true" outlineLevel="0" collapsed="false">
      <c r="A36" s="42" t="s">
        <v>398</v>
      </c>
    </row>
    <row r="37" customFormat="false" ht="21.75" hidden="false" customHeight="true" outlineLevel="0" collapsed="false">
      <c r="A37" s="43" t="s">
        <v>367</v>
      </c>
      <c r="B37" s="29" t="str">
        <f aca="false">A14</f>
        <v>Player 9</v>
      </c>
      <c r="C37" s="44"/>
      <c r="D37" s="29" t="str">
        <f aca="false">A13</f>
        <v>Player 8</v>
      </c>
      <c r="E37" s="44"/>
      <c r="F37" s="29" t="str">
        <f aca="false">A20</f>
        <v>Player 15</v>
      </c>
      <c r="G37" s="44"/>
      <c r="H37" s="29" t="str">
        <f aca="false">A19</f>
        <v>Player 14</v>
      </c>
      <c r="I37" s="44"/>
      <c r="J37" s="29" t="str">
        <f aca="false">A11</f>
        <v>Player 6</v>
      </c>
      <c r="K37" s="44"/>
      <c r="L37" s="29" t="str">
        <f aca="false">A7</f>
        <v>Player 2</v>
      </c>
      <c r="M37" s="44"/>
    </row>
    <row r="38" customFormat="false" ht="21.75" hidden="false" customHeight="true" outlineLevel="0" collapsed="false">
      <c r="A38" s="45"/>
      <c r="B38" s="29" t="str">
        <f aca="false">A13</f>
        <v>Player 8</v>
      </c>
      <c r="C38" s="46"/>
      <c r="D38" s="29" t="str">
        <f aca="false">A16</f>
        <v>Player 11</v>
      </c>
      <c r="E38" s="46"/>
      <c r="F38" s="29" t="str">
        <f aca="false">A6</f>
        <v>Player 1</v>
      </c>
      <c r="G38" s="46"/>
      <c r="H38" s="29" t="str">
        <f aca="false">A7</f>
        <v>Player 2</v>
      </c>
      <c r="I38" s="46"/>
      <c r="J38" s="29" t="str">
        <f aca="false">A8</f>
        <v>Player 3</v>
      </c>
      <c r="K38" s="46"/>
      <c r="L38" s="29" t="str">
        <f aca="false">A18</f>
        <v>Player 13</v>
      </c>
      <c r="M38" s="46"/>
    </row>
    <row r="39" customFormat="false" ht="18" hidden="false" customHeight="true" outlineLevel="0" collapsed="false">
      <c r="A39" s="47" t="s">
        <v>368</v>
      </c>
      <c r="B39" s="47" t="s">
        <v>369</v>
      </c>
      <c r="C39" s="44"/>
      <c r="D39" s="47" t="s">
        <v>369</v>
      </c>
      <c r="E39" s="44"/>
      <c r="F39" s="47" t="s">
        <v>369</v>
      </c>
      <c r="G39" s="44"/>
      <c r="H39" s="47" t="s">
        <v>369</v>
      </c>
      <c r="I39" s="44"/>
      <c r="J39" s="47" t="s">
        <v>369</v>
      </c>
      <c r="K39" s="44"/>
      <c r="L39" s="47" t="s">
        <v>369</v>
      </c>
      <c r="M39" s="44"/>
    </row>
    <row r="40" customFormat="false" ht="21.75" hidden="false" customHeight="true" outlineLevel="0" collapsed="false">
      <c r="A40" s="43" t="s">
        <v>370</v>
      </c>
      <c r="B40" s="29" t="str">
        <f aca="false">A10</f>
        <v>Player 5</v>
      </c>
      <c r="C40" s="44"/>
      <c r="D40" s="29" t="str">
        <f aca="false">A20</f>
        <v>Player 15</v>
      </c>
      <c r="E40" s="44"/>
      <c r="F40" s="29" t="str">
        <f aca="false">A17</f>
        <v>Player 12</v>
      </c>
      <c r="G40" s="44"/>
      <c r="H40" s="29" t="str">
        <f aca="false">A20</f>
        <v>Player 15</v>
      </c>
      <c r="I40" s="44"/>
      <c r="J40" s="29" t="str">
        <f aca="false">A12</f>
        <v>Player 7</v>
      </c>
      <c r="K40" s="44"/>
      <c r="L40" s="29" t="str">
        <f aca="false">A6</f>
        <v>Player 1</v>
      </c>
      <c r="M40" s="44"/>
    </row>
    <row r="41" customFormat="false" ht="21.75" hidden="false" customHeight="true" outlineLevel="0" collapsed="false">
      <c r="A41" s="45"/>
      <c r="B41" s="29" t="str">
        <f aca="false">A12</f>
        <v>Player 7</v>
      </c>
      <c r="C41" s="46"/>
      <c r="D41" s="29" t="str">
        <f aca="false">A11</f>
        <v>Player 6</v>
      </c>
      <c r="E41" s="46"/>
      <c r="F41" s="29" t="str">
        <f aca="false">A9</f>
        <v>Player 4</v>
      </c>
      <c r="G41" s="46"/>
      <c r="H41" s="29" t="str">
        <f aca="false">A16</f>
        <v>Player 11</v>
      </c>
      <c r="I41" s="46"/>
      <c r="J41" s="29" t="str">
        <f aca="false">A18</f>
        <v>Player 13</v>
      </c>
      <c r="K41" s="46"/>
      <c r="L41" s="29" t="str">
        <f aca="false">A19</f>
        <v>Player 14</v>
      </c>
      <c r="M41" s="46"/>
    </row>
    <row r="43" customFormat="false" ht="21.75" hidden="false" customHeight="true" outlineLevel="0" collapsed="false">
      <c r="A43" s="48" t="s">
        <v>374</v>
      </c>
      <c r="B43" s="49" t="str">
        <f aca="false">A6&amp;", "&amp;A7&amp;", "&amp;A20</f>
        <v>Player 1, Player 2, Player 15</v>
      </c>
      <c r="C43" s="49"/>
      <c r="D43" s="49" t="str">
        <f aca="false">A8&amp;", "&amp;A9&amp;", "&amp;A19</f>
        <v>Player 3, Player 4, Player 14</v>
      </c>
      <c r="E43" s="49"/>
      <c r="F43" s="49" t="str">
        <f aca="false">A10&amp;", "&amp;A11&amp;", "&amp;A18</f>
        <v>Player 5, Player 6, Player 13</v>
      </c>
      <c r="G43" s="49"/>
      <c r="H43" s="49" t="str">
        <f aca="false">A12&amp;", "&amp;A13&amp;", "&amp;A17</f>
        <v>Player 7, Player 8, Player 12</v>
      </c>
      <c r="I43" s="49"/>
      <c r="J43" s="49" t="str">
        <f aca="false">A14&amp;", "&amp;A15&amp;", "&amp;A16</f>
        <v>Player 9, Player 10, Player 11</v>
      </c>
      <c r="K43" s="49"/>
      <c r="L43" s="49" t="str">
        <f aca="false">A15&amp;", "&amp;A16&amp;", "&amp;A17</f>
        <v>Player 10, Player 11, Player 12</v>
      </c>
      <c r="M43" s="49"/>
    </row>
  </sheetData>
  <mergeCells count="16">
    <mergeCell ref="A1:M1"/>
    <mergeCell ref="A2:M2"/>
    <mergeCell ref="A4:G4"/>
    <mergeCell ref="A22:M22"/>
    <mergeCell ref="B23:C23"/>
    <mergeCell ref="D23:E23"/>
    <mergeCell ref="F23:G23"/>
    <mergeCell ref="H23:I23"/>
    <mergeCell ref="J23:K23"/>
    <mergeCell ref="L23:M23"/>
    <mergeCell ref="B43:C43"/>
    <mergeCell ref="D43:E43"/>
    <mergeCell ref="F43:G43"/>
    <mergeCell ref="H43:I43"/>
    <mergeCell ref="J43:K43"/>
    <mergeCell ref="L43:M4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4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2" topLeftCell="A2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12"/>
    <col collapsed="false" customWidth="true" hidden="false" outlineLevel="0" max="3" min="3" style="0" width="7"/>
    <col collapsed="false" customWidth="true" hidden="false" outlineLevel="0" max="4" min="4" style="0" width="12"/>
    <col collapsed="false" customWidth="true" hidden="false" outlineLevel="0" max="5" min="5" style="0" width="7"/>
    <col collapsed="false" customWidth="true" hidden="false" outlineLevel="0" max="6" min="6" style="0" width="12"/>
    <col collapsed="false" customWidth="true" hidden="false" outlineLevel="0" max="7" min="7" style="0" width="7"/>
    <col collapsed="false" customWidth="true" hidden="false" outlineLevel="0" max="8" min="8" style="0" width="12"/>
    <col collapsed="false" customWidth="true" hidden="false" outlineLevel="0" max="9" min="9" style="0" width="7"/>
    <col collapsed="false" customWidth="true" hidden="false" outlineLevel="0" max="10" min="10" style="0" width="12"/>
    <col collapsed="false" customWidth="true" hidden="false" outlineLevel="0" max="11" min="11" style="0" width="7"/>
    <col collapsed="false" customWidth="true" hidden="false" outlineLevel="0" max="12" min="12" style="0" width="12"/>
    <col collapsed="false" customWidth="true" hidden="false" outlineLevel="0" max="13" min="13" style="0" width="7"/>
  </cols>
  <sheetData>
    <row r="1" customFormat="false" ht="22.05" hidden="false" customHeight="false" outlineLevel="0" collapsed="false">
      <c r="A1" s="36" t="s">
        <v>408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</row>
    <row r="2" customFormat="false" ht="15" hidden="false" customHeight="false" outlineLevel="0" collapsed="false">
      <c r="A2" s="37" t="s">
        <v>409</v>
      </c>
      <c r="B2" s="37"/>
      <c r="C2" s="37"/>
      <c r="D2" s="37"/>
      <c r="E2" s="37"/>
      <c r="F2" s="37"/>
      <c r="G2" s="37"/>
      <c r="H2" s="37"/>
      <c r="I2" s="37"/>
      <c r="J2" s="37"/>
      <c r="K2" s="37"/>
      <c r="L2" s="37"/>
      <c r="M2" s="37"/>
    </row>
    <row r="4" customFormat="false" ht="15" hidden="false" customHeight="true" outlineLevel="0" collapsed="false">
      <c r="A4" s="18" t="s">
        <v>346</v>
      </c>
      <c r="B4" s="18"/>
      <c r="C4" s="18"/>
      <c r="D4" s="18"/>
      <c r="E4" s="18"/>
      <c r="F4" s="18"/>
      <c r="G4" s="18"/>
    </row>
    <row r="5" customFormat="false" ht="21.75" hidden="false" customHeight="true" outlineLevel="0" collapsed="false">
      <c r="A5" s="38" t="s">
        <v>347</v>
      </c>
      <c r="B5" s="38" t="s">
        <v>348</v>
      </c>
      <c r="C5" s="38" t="s">
        <v>349</v>
      </c>
      <c r="D5" s="38" t="s">
        <v>350</v>
      </c>
      <c r="E5" s="38" t="s">
        <v>351</v>
      </c>
      <c r="F5" s="38" t="s">
        <v>352</v>
      </c>
      <c r="G5" s="38" t="s">
        <v>353</v>
      </c>
    </row>
    <row r="6" customFormat="false" ht="15" hidden="false" customHeight="false" outlineLevel="0" collapsed="false">
      <c r="A6" s="39" t="s">
        <v>354</v>
      </c>
      <c r="B6" s="40" t="n">
        <f aca="false">IF(E30&gt;E27,1,0)+IF(C36&gt;C33,1,0)+IF(I33&gt;I36,1,0)+IF(G39&gt;G42,1,0)+IF(M42&gt;M39,1,0)+IF(K48&gt;K45,1,0)</f>
        <v>0</v>
      </c>
      <c r="C6" s="40" t="n">
        <f aca="false">N(E30)+N(C36)+N(I33)+N(G39)+N(M42)+N(K48)</f>
        <v>0</v>
      </c>
      <c r="D6" s="40" t="n">
        <f aca="false">N(E27)+N(C33)+N(I36)+N(G42)+N(M39)+N(K45)</f>
        <v>0</v>
      </c>
      <c r="E6" s="40" t="n">
        <f aca="false">C6-D6</f>
        <v>0</v>
      </c>
      <c r="F6" s="40" t="n">
        <f aca="false">RANK(B6,$B$6:$B$21)+SUMPRODUCT(($B$6:$B$21=B6)*($E$6:$E$21&gt;E6))</f>
        <v>1</v>
      </c>
      <c r="G6" s="40" t="n">
        <f aca="false">IF(N(E30)+N(E27)&gt;0,1,0)+IF(N(C36)+N(C33)&gt;0,1,0)+IF(N(I33)+N(I36)&gt;0,1,0)+IF(N(G39)+N(G42)&gt;0,1,0)+IF(N(M42)+N(M39)&gt;0,1,0)+IF(N(K48)+N(K45)&gt;0,1,0)</f>
        <v>0</v>
      </c>
    </row>
    <row r="7" customFormat="false" ht="15" hidden="false" customHeight="false" outlineLevel="0" collapsed="false">
      <c r="A7" s="39" t="s">
        <v>355</v>
      </c>
      <c r="B7" s="40" t="n">
        <f aca="false">IF(E33&gt;E36,1,0)+IF(G36&gt;G33,1,0)+IF(M36&gt;M33,1,0)+IF(C39&gt;C42,1,0)+IF(I39&gt;I42,1,0)+IF(K42&gt;K39,1,0)</f>
        <v>0</v>
      </c>
      <c r="C7" s="40" t="n">
        <f aca="false">N(E33)+N(G36)+N(M36)+N(C39)+N(I39)+N(K42)</f>
        <v>0</v>
      </c>
      <c r="D7" s="40" t="n">
        <f aca="false">N(E36)+N(G33)+N(M33)+N(C42)+N(I42)+N(K39)</f>
        <v>0</v>
      </c>
      <c r="E7" s="40" t="n">
        <f aca="false">C7-D7</f>
        <v>0</v>
      </c>
      <c r="F7" s="40" t="n">
        <f aca="false">RANK(B7,$B$6:$B$21)+SUMPRODUCT(($B$6:$B$21=B7)*($E$6:$E$21&gt;E7))</f>
        <v>1</v>
      </c>
      <c r="G7" s="40" t="n">
        <f aca="false">IF(N(E33)+N(E36)&gt;0,1,0)+IF(N(G36)+N(G33)&gt;0,1,0)+IF(N(M36)+N(M33)&gt;0,1,0)+IF(N(C39)+N(C42)&gt;0,1,0)+IF(N(I39)+N(I42)&gt;0,1,0)+IF(N(K42)+N(K39)&gt;0,1,0)</f>
        <v>0</v>
      </c>
    </row>
    <row r="8" customFormat="false" ht="15" hidden="false" customHeight="false" outlineLevel="0" collapsed="false">
      <c r="A8" s="39" t="s">
        <v>356</v>
      </c>
      <c r="B8" s="40" t="n">
        <f aca="false">IF(E27&gt;E30,1,0)+IF(C36&gt;C33,1,0)+IF(G45&gt;G48,1,0)+IF(I48&gt;I45,1,0)+IF(K45&gt;K48,1,0)+IF(M48&gt;M45,1,0)</f>
        <v>0</v>
      </c>
      <c r="C8" s="40" t="n">
        <f aca="false">N(E27)+N(C36)+N(G45)+N(I48)+N(K45)+N(M48)</f>
        <v>0</v>
      </c>
      <c r="D8" s="40" t="n">
        <f aca="false">N(E30)+N(C33)+N(G48)+N(I45)+N(K48)+N(M45)</f>
        <v>0</v>
      </c>
      <c r="E8" s="40" t="n">
        <f aca="false">C8-D8</f>
        <v>0</v>
      </c>
      <c r="F8" s="40" t="n">
        <f aca="false">RANK(B8,$B$6:$B$21)+SUMPRODUCT(($B$6:$B$21=B8)*($E$6:$E$21&gt;E8))</f>
        <v>1</v>
      </c>
      <c r="G8" s="40" t="n">
        <f aca="false">IF(N(E27)+N(E30)&gt;0,1,0)+IF(N(C36)+N(C33)&gt;0,1,0)+IF(N(G45)+N(G48)&gt;0,1,0)+IF(N(I48)+N(I45)&gt;0,1,0)+IF(N(K45)+N(K48)&gt;0,1,0)+IF(N(M48)+N(M45)&gt;0,1,0)</f>
        <v>0</v>
      </c>
    </row>
    <row r="9" customFormat="false" ht="15" hidden="false" customHeight="false" outlineLevel="0" collapsed="false">
      <c r="A9" s="39" t="s">
        <v>357</v>
      </c>
      <c r="B9" s="40" t="n">
        <f aca="false">IF(C27&gt;C30,1,0)+IF(E30&gt;E27,1,0)+IF(I30&gt;I27,1,0)+IF(G36&gt;G33,1,0)+IF(K36&gt;K33,1,0)+IF(M45&gt;M48,1,0)</f>
        <v>0</v>
      </c>
      <c r="C9" s="40" t="n">
        <f aca="false">N(C27)+N(E30)+N(I30)+N(G36)+N(K36)+N(M45)</f>
        <v>0</v>
      </c>
      <c r="D9" s="40" t="n">
        <f aca="false">N(C30)+N(E27)+N(I27)+N(G33)+N(K33)+N(M48)</f>
        <v>0</v>
      </c>
      <c r="E9" s="40" t="n">
        <f aca="false">C9-D9</f>
        <v>0</v>
      </c>
      <c r="F9" s="40" t="n">
        <f aca="false">RANK(B9,$B$6:$B$21)+SUMPRODUCT(($B$6:$B$21=B9)*($E$6:$E$21&gt;E9))</f>
        <v>1</v>
      </c>
      <c r="G9" s="40" t="n">
        <f aca="false">IF(N(C27)+N(C30)&gt;0,1,0)+IF(N(E30)+N(E27)&gt;0,1,0)+IF(N(I30)+N(I27)&gt;0,1,0)+IF(N(G36)+N(G33)&gt;0,1,0)+IF(N(K36)+N(K33)&gt;0,1,0)+IF(N(M45)+N(M48)&gt;0,1,0)</f>
        <v>0</v>
      </c>
    </row>
    <row r="10" customFormat="false" ht="15" hidden="false" customHeight="false" outlineLevel="0" collapsed="false">
      <c r="A10" s="39" t="s">
        <v>373</v>
      </c>
      <c r="B10" s="40" t="n">
        <f aca="false">IF(K30&gt;K27,1,0)+IF(G33&gt;G36,1,0)+IF(M33&gt;M36,1,0)+IF(E39&gt;E42,1,0)+IF(C48&gt;C45,1,0)+IF(I45&gt;I48,1,0)</f>
        <v>0</v>
      </c>
      <c r="C10" s="40" t="n">
        <f aca="false">N(K30)+N(G33)+N(M33)+N(E39)+N(C48)+N(I45)</f>
        <v>0</v>
      </c>
      <c r="D10" s="40" t="n">
        <f aca="false">N(K27)+N(G36)+N(M36)+N(E42)+N(C45)+N(I48)</f>
        <v>0</v>
      </c>
      <c r="E10" s="40" t="n">
        <f aca="false">C10-D10</f>
        <v>0</v>
      </c>
      <c r="F10" s="40" t="n">
        <f aca="false">RANK(B10,$B$6:$B$21)+SUMPRODUCT(($B$6:$B$21=B10)*($E$6:$E$21&gt;E10))</f>
        <v>1</v>
      </c>
      <c r="G10" s="40" t="n">
        <f aca="false">IF(N(K30)+N(K27)&gt;0,1,0)+IF(N(G33)+N(G36)&gt;0,1,0)+IF(N(M33)+N(M36)&gt;0,1,0)+IF(N(E39)+N(E42)&gt;0,1,0)+IF(N(C48)+N(C45)&gt;0,1,0)+IF(N(I45)+N(I48)&gt;0,1,0)</f>
        <v>0</v>
      </c>
    </row>
    <row r="11" customFormat="false" ht="15" hidden="false" customHeight="false" outlineLevel="0" collapsed="false">
      <c r="A11" s="39" t="s">
        <v>377</v>
      </c>
      <c r="B11" s="40" t="n">
        <f aca="false">IF(C27&gt;C30,1,0)+IF(K27&gt;K30,1,0)+IF(M33&gt;M36,1,0)+IF(I42&gt;I39,1,0)+IF(E48&gt;E45,1,0)+IF(G48&gt;G45,1,0)</f>
        <v>0</v>
      </c>
      <c r="C11" s="40" t="n">
        <f aca="false">N(C27)+N(K27)+N(M33)+N(I42)+N(E48)+N(G48)</f>
        <v>0</v>
      </c>
      <c r="D11" s="40" t="n">
        <f aca="false">N(C30)+N(K30)+N(M36)+N(I39)+N(E45)+N(G45)</f>
        <v>0</v>
      </c>
      <c r="E11" s="40" t="n">
        <f aca="false">C11-D11</f>
        <v>0</v>
      </c>
      <c r="F11" s="40" t="n">
        <f aca="false">RANK(B11,$B$6:$B$21)+SUMPRODUCT(($B$6:$B$21=B11)*($E$6:$E$21&gt;E11))</f>
        <v>1</v>
      </c>
      <c r="G11" s="40" t="n">
        <f aca="false">IF(N(C27)+N(C30)&gt;0,1,0)+IF(N(K27)+N(K30)&gt;0,1,0)+IF(N(M33)+N(M36)&gt;0,1,0)+IF(N(I42)+N(I39)&gt;0,1,0)+IF(N(E48)+N(E45)&gt;0,1,0)+IF(N(G48)+N(G45)&gt;0,1,0)</f>
        <v>0</v>
      </c>
    </row>
    <row r="12" customFormat="false" ht="15" hidden="false" customHeight="false" outlineLevel="0" collapsed="false">
      <c r="A12" s="39" t="s">
        <v>380</v>
      </c>
      <c r="B12" s="40" t="n">
        <f aca="false">IF(I27&gt;I30,1,0)+IF(M27&gt;M30,1,0)+IF(C33&gt;C36,1,0)+IF(E42&gt;E39,1,0)+IF(G39&gt;G42,1,0)+IF(K45&gt;K48,1,0)</f>
        <v>0</v>
      </c>
      <c r="C12" s="40" t="n">
        <f aca="false">N(I27)+N(M27)+N(C33)+N(E42)+N(G39)+N(K45)</f>
        <v>0</v>
      </c>
      <c r="D12" s="40" t="n">
        <f aca="false">N(I30)+N(M30)+N(C36)+N(E39)+N(G42)+N(K48)</f>
        <v>0</v>
      </c>
      <c r="E12" s="40" t="n">
        <f aca="false">C12-D12</f>
        <v>0</v>
      </c>
      <c r="F12" s="40" t="n">
        <f aca="false">RANK(B12,$B$6:$B$21)+SUMPRODUCT(($B$6:$B$21=B12)*($E$6:$E$21&gt;E12))</f>
        <v>1</v>
      </c>
      <c r="G12" s="40" t="n">
        <f aca="false">IF(N(I27)+N(I30)&gt;0,1,0)+IF(N(M27)+N(M30)&gt;0,1,0)+IF(N(C33)+N(C36)&gt;0,1,0)+IF(N(E42)+N(E39)&gt;0,1,0)+IF(N(G39)+N(G42)&gt;0,1,0)+IF(N(K45)+N(K48)&gt;0,1,0)</f>
        <v>0</v>
      </c>
    </row>
    <row r="13" customFormat="false" ht="15" hidden="false" customHeight="false" outlineLevel="0" collapsed="false">
      <c r="A13" s="39" t="s">
        <v>384</v>
      </c>
      <c r="B13" s="40" t="n">
        <f aca="false">IF(G27&gt;G30,1,0)+IF(C42&gt;C39,1,0)+IF(M39&gt;M42,1,0)+IF(E45&gt;E48,1,0)+IF(I48&gt;I45,1,0)+IF(K48&gt;K45,1,0)</f>
        <v>0</v>
      </c>
      <c r="C13" s="40" t="n">
        <f aca="false">N(G27)+N(C42)+N(M39)+N(E45)+N(I48)+N(K48)</f>
        <v>0</v>
      </c>
      <c r="D13" s="40" t="n">
        <f aca="false">N(G30)+N(C39)+N(M42)+N(E48)+N(I45)+N(K45)</f>
        <v>0</v>
      </c>
      <c r="E13" s="40" t="n">
        <f aca="false">C13-D13</f>
        <v>0</v>
      </c>
      <c r="F13" s="40" t="n">
        <f aca="false">RANK(B13,$B$6:$B$21)+SUMPRODUCT(($B$6:$B$21=B13)*($E$6:$E$21&gt;E13))</f>
        <v>1</v>
      </c>
      <c r="G13" s="40" t="n">
        <f aca="false">IF(N(G27)+N(G30)&gt;0,1,0)+IF(N(C42)+N(C39)&gt;0,1,0)+IF(N(M39)+N(M42)&gt;0,1,0)+IF(N(E45)+N(E48)&gt;0,1,0)+IF(N(I48)+N(I45)&gt;0,1,0)+IF(N(K48)+N(K45)&gt;0,1,0)</f>
        <v>0</v>
      </c>
    </row>
    <row r="14" customFormat="false" ht="15" hidden="false" customHeight="false" outlineLevel="0" collapsed="false">
      <c r="A14" s="39" t="s">
        <v>388</v>
      </c>
      <c r="B14" s="40" t="n">
        <f aca="false">IF(C30&gt;C27,1,0)+IF(G30&gt;G27,1,0)+IF(M27&gt;M30,1,0)+IF(I36&gt;I33,1,0)+IF(K33&gt;K36,1,0)+IF(E39&gt;E42,1,0)</f>
        <v>0</v>
      </c>
      <c r="C14" s="40" t="n">
        <f aca="false">N(C30)+N(G30)+N(M27)+N(I36)+N(K33)+N(E39)</f>
        <v>0</v>
      </c>
      <c r="D14" s="40" t="n">
        <f aca="false">N(C27)+N(G27)+N(M30)+N(I33)+N(K36)+N(E42)</f>
        <v>0</v>
      </c>
      <c r="E14" s="40" t="n">
        <f aca="false">C14-D14</f>
        <v>0</v>
      </c>
      <c r="F14" s="40" t="n">
        <f aca="false">RANK(B14,$B$6:$B$21)+SUMPRODUCT(($B$6:$B$21=B14)*($E$6:$E$21&gt;E14))</f>
        <v>1</v>
      </c>
      <c r="G14" s="40" t="n">
        <f aca="false">IF(N(C30)+N(C27)&gt;0,1,0)+IF(N(G30)+N(G27)&gt;0,1,0)+IF(N(M27)+N(M30)&gt;0,1,0)+IF(N(I36)+N(I33)&gt;0,1,0)+IF(N(K33)+N(K36)&gt;0,1,0)+IF(N(E39)+N(E42)&gt;0,1,0)</f>
        <v>0</v>
      </c>
    </row>
    <row r="15" customFormat="false" ht="15" hidden="false" customHeight="false" outlineLevel="0" collapsed="false">
      <c r="A15" s="39" t="s">
        <v>391</v>
      </c>
      <c r="B15" s="40" t="n">
        <f aca="false">IF(C30&gt;C27,1,0)+IF(I27&gt;I30,1,0)+IF(E36&gt;E33,1,0)+IF(K42&gt;K39,1,0)+IF(M42&gt;M39,1,0)+IF(G45&gt;G48,1,0)</f>
        <v>0</v>
      </c>
      <c r="C15" s="40" t="n">
        <f aca="false">N(C30)+N(I27)+N(E36)+N(K42)+N(M42)+N(G45)</f>
        <v>0</v>
      </c>
      <c r="D15" s="40" t="n">
        <f aca="false">N(C27)+N(I30)+N(E33)+N(K39)+N(M39)+N(G48)</f>
        <v>0</v>
      </c>
      <c r="E15" s="40" t="n">
        <f aca="false">C15-D15</f>
        <v>0</v>
      </c>
      <c r="F15" s="40" t="n">
        <f aca="false">RANK(B15,$B$6:$B$21)+SUMPRODUCT(($B$6:$B$21=B15)*($E$6:$E$21&gt;E15))</f>
        <v>1</v>
      </c>
      <c r="G15" s="40" t="n">
        <f aca="false">IF(N(C30)+N(C27)&gt;0,1,0)+IF(N(I27)+N(I30)&gt;0,1,0)+IF(N(E36)+N(E33)&gt;0,1,0)+IF(N(K42)+N(K39)&gt;0,1,0)+IF(N(M42)+N(M39)&gt;0,1,0)+IF(N(G45)+N(G48)&gt;0,1,0)</f>
        <v>0</v>
      </c>
    </row>
    <row r="16" customFormat="false" ht="15" hidden="false" customHeight="false" outlineLevel="0" collapsed="false">
      <c r="A16" s="39" t="s">
        <v>394</v>
      </c>
      <c r="B16" s="40" t="n">
        <f aca="false">IF(E33&gt;E36,1,0)+IF(G42&gt;G39,1,0)+IF(I42&gt;I39,1,0)+IF(K39&gt;K42,1,0)+IF(C45&gt;C48,1,0)+IF(M48&gt;M45,1,0)</f>
        <v>0</v>
      </c>
      <c r="C16" s="40" t="n">
        <f aca="false">N(E33)+N(G42)+N(I42)+N(K39)+N(C45)+N(M48)</f>
        <v>0</v>
      </c>
      <c r="D16" s="40" t="n">
        <f aca="false">N(E36)+N(G39)+N(I39)+N(K42)+N(C48)+N(M45)</f>
        <v>0</v>
      </c>
      <c r="E16" s="40" t="n">
        <f aca="false">C16-D16</f>
        <v>0</v>
      </c>
      <c r="F16" s="40" t="n">
        <f aca="false">RANK(B16,$B$6:$B$21)+SUMPRODUCT(($B$6:$B$21=B16)*($E$6:$E$21&gt;E16))</f>
        <v>1</v>
      </c>
      <c r="G16" s="40" t="n">
        <f aca="false">IF(N(E33)+N(E36)&gt;0,1,0)+IF(N(G42)+N(G39)&gt;0,1,0)+IF(N(I42)+N(I39)&gt;0,1,0)+IF(N(K39)+N(K42)&gt;0,1,0)+IF(N(C45)+N(C48)&gt;0,1,0)+IF(N(M48)+N(M45)&gt;0,1,0)</f>
        <v>0</v>
      </c>
    </row>
    <row r="17" customFormat="false" ht="15" hidden="false" customHeight="false" outlineLevel="0" collapsed="false">
      <c r="A17" s="39" t="s">
        <v>397</v>
      </c>
      <c r="B17" s="40" t="n">
        <f aca="false">IF(G30&gt;G27,1,0)+IF(I30&gt;I27,1,0)+IF(M30&gt;M27,1,0)+IF(C42&gt;C39,1,0)+IF(K39&gt;K42,1,0)+IF(E48&gt;E45,1,0)</f>
        <v>0</v>
      </c>
      <c r="C17" s="40" t="n">
        <f aca="false">N(G30)+N(I30)+N(M30)+N(C42)+N(K39)+N(E48)</f>
        <v>0</v>
      </c>
      <c r="D17" s="40" t="n">
        <f aca="false">N(G27)+N(I27)+N(M27)+N(C39)+N(K42)+N(E45)</f>
        <v>0</v>
      </c>
      <c r="E17" s="40" t="n">
        <f aca="false">C17-D17</f>
        <v>0</v>
      </c>
      <c r="F17" s="40" t="n">
        <f aca="false">RANK(B17,$B$6:$B$21)+SUMPRODUCT(($B$6:$B$21=B17)*($E$6:$E$21&gt;E17))</f>
        <v>1</v>
      </c>
      <c r="G17" s="40" t="n">
        <f aca="false">IF(N(G30)+N(G27)&gt;0,1,0)+IF(N(I30)+N(I27)&gt;0,1,0)+IF(N(M30)+N(M27)&gt;0,1,0)+IF(N(C42)+N(C39)&gt;0,1,0)+IF(N(K39)+N(K42)&gt;0,1,0)+IF(N(E48)+N(E45)&gt;0,1,0)</f>
        <v>0</v>
      </c>
    </row>
    <row r="18" customFormat="false" ht="15" hidden="false" customHeight="false" outlineLevel="0" collapsed="false">
      <c r="A18" s="39" t="s">
        <v>401</v>
      </c>
      <c r="B18" s="40" t="n">
        <f aca="false">IF(G27&gt;G30,1,0)+IF(M30&gt;M27,1,0)+IF(C33&gt;C36,1,0)+IF(E36&gt;E33,1,0)+IF(K33&gt;K36,1,0)+IF(I45&gt;I48,1,0)</f>
        <v>0</v>
      </c>
      <c r="C18" s="40" t="n">
        <f aca="false">N(G27)+N(M30)+N(C33)+N(E36)+N(K33)+N(I45)</f>
        <v>0</v>
      </c>
      <c r="D18" s="40" t="n">
        <f aca="false">N(G30)+N(M27)+N(C36)+N(E33)+N(K36)+N(I48)</f>
        <v>0</v>
      </c>
      <c r="E18" s="40" t="n">
        <f aca="false">C18-D18</f>
        <v>0</v>
      </c>
      <c r="F18" s="40" t="n">
        <f aca="false">RANK(B18,$B$6:$B$21)+SUMPRODUCT(($B$6:$B$21=B18)*($E$6:$E$21&gt;E18))</f>
        <v>1</v>
      </c>
      <c r="G18" s="40" t="n">
        <f aca="false">IF(N(G27)+N(G30)&gt;0,1,0)+IF(N(M30)+N(M27)&gt;0,1,0)+IF(N(C33)+N(C36)&gt;0,1,0)+IF(N(E36)+N(E33)&gt;0,1,0)+IF(N(K33)+N(K36)&gt;0,1,0)+IF(N(I45)+N(I48)&gt;0,1,0)</f>
        <v>0</v>
      </c>
    </row>
    <row r="19" customFormat="false" ht="15" hidden="false" customHeight="false" outlineLevel="0" collapsed="false">
      <c r="A19" s="39" t="s">
        <v>404</v>
      </c>
      <c r="B19" s="40" t="n">
        <f aca="false">IF(I36&gt;I33,1,0)+IF(K36&gt;K33,1,0)+IF(M36&gt;M33,1,0)+IF(G42&gt;G39,1,0)+IF(C48&gt;C45,1,0)+IF(E45&gt;E48,1,0)</f>
        <v>0</v>
      </c>
      <c r="C19" s="40" t="n">
        <f aca="false">N(I36)+N(K36)+N(M36)+N(G42)+N(C48)+N(E45)</f>
        <v>0</v>
      </c>
      <c r="D19" s="40" t="n">
        <f aca="false">N(I33)+N(K33)+N(M33)+N(G39)+N(C45)+N(E48)</f>
        <v>0</v>
      </c>
      <c r="E19" s="40" t="n">
        <f aca="false">C19-D19</f>
        <v>0</v>
      </c>
      <c r="F19" s="40" t="n">
        <f aca="false">RANK(B19,$B$6:$B$21)+SUMPRODUCT(($B$6:$B$21=B19)*($E$6:$E$21&gt;E19))</f>
        <v>1</v>
      </c>
      <c r="G19" s="40" t="n">
        <f aca="false">IF(N(I36)+N(I33)&gt;0,1,0)+IF(N(K36)+N(K33)&gt;0,1,0)+IF(N(M36)+N(M33)&gt;0,1,0)+IF(N(G42)+N(G39)&gt;0,1,0)+IF(N(C48)+N(C45)&gt;0,1,0)+IF(N(E45)+N(E48)&gt;0,1,0)</f>
        <v>0</v>
      </c>
    </row>
    <row r="20" customFormat="false" ht="15" hidden="false" customHeight="false" outlineLevel="0" collapsed="false">
      <c r="A20" s="39" t="s">
        <v>407</v>
      </c>
      <c r="B20" s="40" t="n">
        <f aca="false">IF(E27&gt;E30,1,0)+IF(K27&gt;K30,1,0)+IF(G33&gt;G36,1,0)+IF(I39&gt;I42,1,0)+IF(C45&gt;C48,1,0)+IF(M45&gt;M48,1,0)</f>
        <v>0</v>
      </c>
      <c r="C20" s="40" t="n">
        <f aca="false">N(E27)+N(K27)+N(G33)+N(I39)+N(C45)+N(M45)</f>
        <v>0</v>
      </c>
      <c r="D20" s="40" t="n">
        <f aca="false">N(E30)+N(K30)+N(G36)+N(I42)+N(C48)+N(M48)</f>
        <v>0</v>
      </c>
      <c r="E20" s="40" t="n">
        <f aca="false">C20-D20</f>
        <v>0</v>
      </c>
      <c r="F20" s="40" t="n">
        <f aca="false">RANK(B20,$B$6:$B$21)+SUMPRODUCT(($B$6:$B$21=B20)*($E$6:$E$21&gt;E20))</f>
        <v>1</v>
      </c>
      <c r="G20" s="40" t="n">
        <f aca="false">IF(N(E27)+N(E30)&gt;0,1,0)+IF(N(K27)+N(K30)&gt;0,1,0)+IF(N(G33)+N(G36)&gt;0,1,0)+IF(N(I39)+N(I42)&gt;0,1,0)+IF(N(C45)+N(C48)&gt;0,1,0)+IF(N(M45)+N(M48)&gt;0,1,0)</f>
        <v>0</v>
      </c>
    </row>
    <row r="21" customFormat="false" ht="15" hidden="false" customHeight="false" outlineLevel="0" collapsed="false">
      <c r="A21" s="39" t="s">
        <v>410</v>
      </c>
      <c r="B21" s="40" t="n">
        <f aca="false">IF(K30&gt;K27,1,0)+IF(I33&gt;I36,1,0)+IF(C39&gt;C42,1,0)+IF(E42&gt;E39,1,0)+IF(M39&gt;M42,1,0)+IF(G48&gt;G45,1,0)</f>
        <v>0</v>
      </c>
      <c r="C21" s="40" t="n">
        <f aca="false">N(K30)+N(I33)+N(C39)+N(E42)+N(M39)+N(G48)</f>
        <v>0</v>
      </c>
      <c r="D21" s="40" t="n">
        <f aca="false">N(K27)+N(I36)+N(C42)+N(E39)+N(M42)+N(G45)</f>
        <v>0</v>
      </c>
      <c r="E21" s="40" t="n">
        <f aca="false">C21-D21</f>
        <v>0</v>
      </c>
      <c r="F21" s="40" t="n">
        <f aca="false">RANK(B21,$B$6:$B$21)+SUMPRODUCT(($B$6:$B$21=B21)*($E$6:$E$21&gt;E21))</f>
        <v>1</v>
      </c>
      <c r="G21" s="40" t="n">
        <f aca="false">IF(N(K30)+N(K27)&gt;0,1,0)+IF(N(I33)+N(I36)&gt;0,1,0)+IF(N(C39)+N(C42)&gt;0,1,0)+IF(N(E42)+N(E39)&gt;0,1,0)+IF(N(M39)+N(M42)&gt;0,1,0)+IF(N(G48)+N(G45)&gt;0,1,0)</f>
        <v>0</v>
      </c>
    </row>
    <row r="23" customFormat="false" ht="15" hidden="false" customHeight="true" outlineLevel="0" collapsed="false">
      <c r="A23" s="18" t="s">
        <v>358</v>
      </c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</row>
    <row r="24" customFormat="false" ht="21.75" hidden="false" customHeight="true" outlineLevel="0" collapsed="false">
      <c r="A24" s="38" t="s">
        <v>359</v>
      </c>
      <c r="B24" s="41" t="s">
        <v>360</v>
      </c>
      <c r="C24" s="41"/>
      <c r="D24" s="41" t="s">
        <v>361</v>
      </c>
      <c r="E24" s="41"/>
      <c r="F24" s="41" t="s">
        <v>362</v>
      </c>
      <c r="G24" s="41"/>
      <c r="H24" s="41" t="s">
        <v>363</v>
      </c>
      <c r="I24" s="41"/>
      <c r="J24" s="41" t="s">
        <v>364</v>
      </c>
      <c r="K24" s="41"/>
      <c r="L24" s="41" t="s">
        <v>365</v>
      </c>
      <c r="M24" s="41"/>
    </row>
    <row r="25" customFormat="false" ht="21.75" hidden="false" customHeight="true" outlineLevel="0" collapsed="false">
      <c r="A25" s="42" t="s">
        <v>366</v>
      </c>
    </row>
    <row r="26" customFormat="false" ht="21.75" hidden="false" customHeight="true" outlineLevel="0" collapsed="false">
      <c r="A26" s="43" t="s">
        <v>367</v>
      </c>
      <c r="B26" s="29" t="str">
        <f aca="false">A11</f>
        <v>Player 6</v>
      </c>
      <c r="C26" s="44"/>
      <c r="D26" s="29" t="str">
        <f aca="false">A8</f>
        <v>Player 3</v>
      </c>
      <c r="E26" s="44"/>
      <c r="F26" s="29" t="str">
        <f aca="false">A13</f>
        <v>Player 8</v>
      </c>
      <c r="G26" s="44"/>
      <c r="H26" s="29" t="str">
        <f aca="false">A12</f>
        <v>Player 7</v>
      </c>
      <c r="I26" s="44"/>
      <c r="J26" s="29" t="str">
        <f aca="false">A11</f>
        <v>Player 6</v>
      </c>
      <c r="K26" s="44"/>
      <c r="L26" s="29" t="str">
        <f aca="false">A12</f>
        <v>Player 7</v>
      </c>
      <c r="M26" s="44"/>
    </row>
    <row r="27" customFormat="false" ht="21.75" hidden="false" customHeight="true" outlineLevel="0" collapsed="false">
      <c r="A27" s="45"/>
      <c r="B27" s="29" t="str">
        <f aca="false">A9</f>
        <v>Player 4</v>
      </c>
      <c r="C27" s="46"/>
      <c r="D27" s="29" t="str">
        <f aca="false">A20</f>
        <v>Player 15</v>
      </c>
      <c r="E27" s="46"/>
      <c r="F27" s="29" t="str">
        <f aca="false">A18</f>
        <v>Player 13</v>
      </c>
      <c r="G27" s="46"/>
      <c r="H27" s="29" t="str">
        <f aca="false">A15</f>
        <v>Player 10</v>
      </c>
      <c r="I27" s="46"/>
      <c r="J27" s="29" t="str">
        <f aca="false">A20</f>
        <v>Player 15</v>
      </c>
      <c r="K27" s="46"/>
      <c r="L27" s="29" t="str">
        <f aca="false">A14</f>
        <v>Player 9</v>
      </c>
      <c r="M27" s="46"/>
    </row>
    <row r="28" customFormat="false" ht="18" hidden="false" customHeight="true" outlineLevel="0" collapsed="false">
      <c r="A28" s="47" t="s">
        <v>368</v>
      </c>
      <c r="B28" s="47" t="s">
        <v>369</v>
      </c>
      <c r="C28" s="44"/>
      <c r="D28" s="47" t="s">
        <v>369</v>
      </c>
      <c r="E28" s="44"/>
      <c r="F28" s="47" t="s">
        <v>369</v>
      </c>
      <c r="G28" s="44"/>
      <c r="H28" s="47" t="s">
        <v>369</v>
      </c>
      <c r="I28" s="44"/>
      <c r="J28" s="47" t="s">
        <v>369</v>
      </c>
      <c r="K28" s="44"/>
      <c r="L28" s="47" t="s">
        <v>369</v>
      </c>
      <c r="M28" s="44"/>
    </row>
    <row r="29" customFormat="false" ht="21.75" hidden="false" customHeight="true" outlineLevel="0" collapsed="false">
      <c r="A29" s="43" t="s">
        <v>370</v>
      </c>
      <c r="B29" s="29" t="str">
        <f aca="false">A14</f>
        <v>Player 9</v>
      </c>
      <c r="C29" s="44"/>
      <c r="D29" s="29" t="str">
        <f aca="false">A9</f>
        <v>Player 4</v>
      </c>
      <c r="E29" s="44"/>
      <c r="F29" s="29" t="str">
        <f aca="false">A17</f>
        <v>Player 12</v>
      </c>
      <c r="G29" s="44"/>
      <c r="H29" s="29" t="str">
        <f aca="false">A9</f>
        <v>Player 4</v>
      </c>
      <c r="I29" s="44"/>
      <c r="J29" s="29" t="str">
        <f aca="false">A21</f>
        <v>Player 16</v>
      </c>
      <c r="K29" s="44"/>
      <c r="L29" s="29" t="str">
        <f aca="false">A18</f>
        <v>Player 13</v>
      </c>
      <c r="M29" s="44"/>
    </row>
    <row r="30" customFormat="false" ht="21.75" hidden="false" customHeight="true" outlineLevel="0" collapsed="false">
      <c r="A30" s="45"/>
      <c r="B30" s="29" t="str">
        <f aca="false">A15</f>
        <v>Player 10</v>
      </c>
      <c r="C30" s="46"/>
      <c r="D30" s="29" t="str">
        <f aca="false">A6</f>
        <v>Player 1</v>
      </c>
      <c r="E30" s="46"/>
      <c r="F30" s="29" t="str">
        <f aca="false">A14</f>
        <v>Player 9</v>
      </c>
      <c r="G30" s="46"/>
      <c r="H30" s="29" t="str">
        <f aca="false">A17</f>
        <v>Player 12</v>
      </c>
      <c r="I30" s="46"/>
      <c r="J30" s="29" t="str">
        <f aca="false">A10</f>
        <v>Player 5</v>
      </c>
      <c r="K30" s="46"/>
      <c r="L30" s="29" t="str">
        <f aca="false">A17</f>
        <v>Player 12</v>
      </c>
      <c r="M30" s="46"/>
    </row>
    <row r="31" customFormat="false" ht="21.75" hidden="false" customHeight="true" outlineLevel="0" collapsed="false">
      <c r="A31" s="42" t="s">
        <v>385</v>
      </c>
    </row>
    <row r="32" customFormat="false" ht="21.75" hidden="false" customHeight="true" outlineLevel="0" collapsed="false">
      <c r="A32" s="43" t="s">
        <v>367</v>
      </c>
      <c r="B32" s="29" t="str">
        <f aca="false">A12</f>
        <v>Player 7</v>
      </c>
      <c r="C32" s="44"/>
      <c r="D32" s="29" t="str">
        <f aca="false">A7</f>
        <v>Player 2</v>
      </c>
      <c r="E32" s="44"/>
      <c r="F32" s="29" t="str">
        <f aca="false">A20</f>
        <v>Player 15</v>
      </c>
      <c r="G32" s="44"/>
      <c r="H32" s="29" t="str">
        <f aca="false">A6</f>
        <v>Player 1</v>
      </c>
      <c r="I32" s="44"/>
      <c r="J32" s="29" t="str">
        <f aca="false">A18</f>
        <v>Player 13</v>
      </c>
      <c r="K32" s="44"/>
      <c r="L32" s="29" t="str">
        <f aca="false">A10</f>
        <v>Player 5</v>
      </c>
      <c r="M32" s="44"/>
    </row>
    <row r="33" customFormat="false" ht="21.75" hidden="false" customHeight="true" outlineLevel="0" collapsed="false">
      <c r="A33" s="45"/>
      <c r="B33" s="29" t="str">
        <f aca="false">A18</f>
        <v>Player 13</v>
      </c>
      <c r="C33" s="46"/>
      <c r="D33" s="29" t="str">
        <f aca="false">A16</f>
        <v>Player 11</v>
      </c>
      <c r="E33" s="46"/>
      <c r="F33" s="29" t="str">
        <f aca="false">A10</f>
        <v>Player 5</v>
      </c>
      <c r="G33" s="46"/>
      <c r="H33" s="29" t="str">
        <f aca="false">A21</f>
        <v>Player 16</v>
      </c>
      <c r="I33" s="46"/>
      <c r="J33" s="29" t="str">
        <f aca="false">A14</f>
        <v>Player 9</v>
      </c>
      <c r="K33" s="46"/>
      <c r="L33" s="29" t="str">
        <f aca="false">A11</f>
        <v>Player 6</v>
      </c>
      <c r="M33" s="46"/>
    </row>
    <row r="34" customFormat="false" ht="18" hidden="false" customHeight="true" outlineLevel="0" collapsed="false">
      <c r="A34" s="47" t="s">
        <v>368</v>
      </c>
      <c r="B34" s="47" t="s">
        <v>369</v>
      </c>
      <c r="C34" s="44"/>
      <c r="D34" s="47" t="s">
        <v>369</v>
      </c>
      <c r="E34" s="44"/>
      <c r="F34" s="47" t="s">
        <v>369</v>
      </c>
      <c r="G34" s="44"/>
      <c r="H34" s="47" t="s">
        <v>369</v>
      </c>
      <c r="I34" s="44"/>
      <c r="J34" s="47" t="s">
        <v>369</v>
      </c>
      <c r="K34" s="44"/>
      <c r="L34" s="47" t="s">
        <v>369</v>
      </c>
      <c r="M34" s="44"/>
    </row>
    <row r="35" customFormat="false" ht="21.75" hidden="false" customHeight="true" outlineLevel="0" collapsed="false">
      <c r="A35" s="43" t="s">
        <v>370</v>
      </c>
      <c r="B35" s="29" t="str">
        <f aca="false">A8</f>
        <v>Player 3</v>
      </c>
      <c r="C35" s="44"/>
      <c r="D35" s="29" t="str">
        <f aca="false">A15</f>
        <v>Player 10</v>
      </c>
      <c r="E35" s="44"/>
      <c r="F35" s="29" t="str">
        <f aca="false">A9</f>
        <v>Player 4</v>
      </c>
      <c r="G35" s="44"/>
      <c r="H35" s="29" t="str">
        <f aca="false">A14</f>
        <v>Player 9</v>
      </c>
      <c r="I35" s="44"/>
      <c r="J35" s="29" t="str">
        <f aca="false">A9</f>
        <v>Player 4</v>
      </c>
      <c r="K35" s="44"/>
      <c r="L35" s="29" t="str">
        <f aca="false">A7</f>
        <v>Player 2</v>
      </c>
      <c r="M35" s="44"/>
    </row>
    <row r="36" customFormat="false" ht="21.75" hidden="false" customHeight="true" outlineLevel="0" collapsed="false">
      <c r="A36" s="45"/>
      <c r="B36" s="29" t="str">
        <f aca="false">A6</f>
        <v>Player 1</v>
      </c>
      <c r="C36" s="46"/>
      <c r="D36" s="29" t="str">
        <f aca="false">A18</f>
        <v>Player 13</v>
      </c>
      <c r="E36" s="46"/>
      <c r="F36" s="29" t="str">
        <f aca="false">A7</f>
        <v>Player 2</v>
      </c>
      <c r="G36" s="46"/>
      <c r="H36" s="29" t="str">
        <f aca="false">A19</f>
        <v>Player 14</v>
      </c>
      <c r="I36" s="46"/>
      <c r="J36" s="29" t="str">
        <f aca="false">A19</f>
        <v>Player 14</v>
      </c>
      <c r="K36" s="46"/>
      <c r="L36" s="29" t="str">
        <f aca="false">A19</f>
        <v>Player 14</v>
      </c>
      <c r="M36" s="46"/>
    </row>
    <row r="37" customFormat="false" ht="21.75" hidden="false" customHeight="true" outlineLevel="0" collapsed="false">
      <c r="A37" s="42" t="s">
        <v>398</v>
      </c>
    </row>
    <row r="38" customFormat="false" ht="21.75" hidden="false" customHeight="true" outlineLevel="0" collapsed="false">
      <c r="A38" s="43" t="s">
        <v>367</v>
      </c>
      <c r="B38" s="29" t="str">
        <f aca="false">A21</f>
        <v>Player 16</v>
      </c>
      <c r="C38" s="44"/>
      <c r="D38" s="29" t="str">
        <f aca="false">A10</f>
        <v>Player 5</v>
      </c>
      <c r="E38" s="44"/>
      <c r="F38" s="29" t="str">
        <f aca="false">A12</f>
        <v>Player 7</v>
      </c>
      <c r="G38" s="44"/>
      <c r="H38" s="29" t="str">
        <f aca="false">A20</f>
        <v>Player 15</v>
      </c>
      <c r="I38" s="44"/>
      <c r="J38" s="29" t="str">
        <f aca="false">A16</f>
        <v>Player 11</v>
      </c>
      <c r="K38" s="44"/>
      <c r="L38" s="29" t="str">
        <f aca="false">A21</f>
        <v>Player 16</v>
      </c>
      <c r="M38" s="44"/>
    </row>
    <row r="39" customFormat="false" ht="21.75" hidden="false" customHeight="true" outlineLevel="0" collapsed="false">
      <c r="A39" s="45"/>
      <c r="B39" s="29" t="str">
        <f aca="false">A7</f>
        <v>Player 2</v>
      </c>
      <c r="C39" s="46"/>
      <c r="D39" s="29" t="str">
        <f aca="false">A14</f>
        <v>Player 9</v>
      </c>
      <c r="E39" s="46"/>
      <c r="F39" s="29" t="str">
        <f aca="false">A6</f>
        <v>Player 1</v>
      </c>
      <c r="G39" s="46"/>
      <c r="H39" s="29" t="str">
        <f aca="false">A7</f>
        <v>Player 2</v>
      </c>
      <c r="I39" s="46"/>
      <c r="J39" s="29" t="str">
        <f aca="false">A17</f>
        <v>Player 12</v>
      </c>
      <c r="K39" s="46"/>
      <c r="L39" s="29" t="str">
        <f aca="false">A13</f>
        <v>Player 8</v>
      </c>
      <c r="M39" s="46"/>
    </row>
    <row r="40" customFormat="false" ht="18" hidden="false" customHeight="true" outlineLevel="0" collapsed="false">
      <c r="A40" s="47" t="s">
        <v>368</v>
      </c>
      <c r="B40" s="47" t="s">
        <v>369</v>
      </c>
      <c r="C40" s="44"/>
      <c r="D40" s="47" t="s">
        <v>369</v>
      </c>
      <c r="E40" s="44"/>
      <c r="F40" s="47" t="s">
        <v>369</v>
      </c>
      <c r="G40" s="44"/>
      <c r="H40" s="47" t="s">
        <v>369</v>
      </c>
      <c r="I40" s="44"/>
      <c r="J40" s="47" t="s">
        <v>369</v>
      </c>
      <c r="K40" s="44"/>
      <c r="L40" s="47" t="s">
        <v>369</v>
      </c>
      <c r="M40" s="44"/>
    </row>
    <row r="41" customFormat="false" ht="21.75" hidden="false" customHeight="true" outlineLevel="0" collapsed="false">
      <c r="A41" s="43" t="s">
        <v>370</v>
      </c>
      <c r="B41" s="29" t="str">
        <f aca="false">A13</f>
        <v>Player 8</v>
      </c>
      <c r="C41" s="44"/>
      <c r="D41" s="29" t="str">
        <f aca="false">A12</f>
        <v>Player 7</v>
      </c>
      <c r="E41" s="44"/>
      <c r="F41" s="29" t="str">
        <f aca="false">A19</f>
        <v>Player 14</v>
      </c>
      <c r="G41" s="44"/>
      <c r="H41" s="29" t="str">
        <f aca="false">A11</f>
        <v>Player 6</v>
      </c>
      <c r="I41" s="44"/>
      <c r="J41" s="29" t="str">
        <f aca="false">A7</f>
        <v>Player 2</v>
      </c>
      <c r="K41" s="44"/>
      <c r="L41" s="29" t="str">
        <f aca="false">A6</f>
        <v>Player 1</v>
      </c>
      <c r="M41" s="44"/>
    </row>
    <row r="42" customFormat="false" ht="21.75" hidden="false" customHeight="true" outlineLevel="0" collapsed="false">
      <c r="A42" s="45"/>
      <c r="B42" s="29" t="str">
        <f aca="false">A17</f>
        <v>Player 12</v>
      </c>
      <c r="C42" s="46"/>
      <c r="D42" s="29" t="str">
        <f aca="false">A21</f>
        <v>Player 16</v>
      </c>
      <c r="E42" s="46"/>
      <c r="F42" s="29" t="str">
        <f aca="false">A16</f>
        <v>Player 11</v>
      </c>
      <c r="G42" s="46"/>
      <c r="H42" s="29" t="str">
        <f aca="false">A16</f>
        <v>Player 11</v>
      </c>
      <c r="I42" s="46"/>
      <c r="J42" s="29" t="str">
        <f aca="false">A15</f>
        <v>Player 10</v>
      </c>
      <c r="K42" s="46"/>
      <c r="L42" s="29" t="str">
        <f aca="false">A15</f>
        <v>Player 10</v>
      </c>
      <c r="M42" s="46"/>
    </row>
    <row r="43" customFormat="false" ht="21.75" hidden="false" customHeight="true" outlineLevel="0" collapsed="false">
      <c r="A43" s="42" t="s">
        <v>411</v>
      </c>
    </row>
    <row r="44" customFormat="false" ht="21.75" hidden="false" customHeight="true" outlineLevel="0" collapsed="false">
      <c r="A44" s="43" t="s">
        <v>367</v>
      </c>
      <c r="B44" s="29" t="str">
        <f aca="false">A16</f>
        <v>Player 11</v>
      </c>
      <c r="C44" s="44"/>
      <c r="D44" s="29" t="str">
        <f aca="false">A13</f>
        <v>Player 8</v>
      </c>
      <c r="E44" s="44"/>
      <c r="F44" s="29" t="str">
        <f aca="false">A8</f>
        <v>Player 3</v>
      </c>
      <c r="G44" s="44"/>
      <c r="H44" s="29" t="str">
        <f aca="false">A18</f>
        <v>Player 13</v>
      </c>
      <c r="I44" s="44"/>
      <c r="J44" s="29" t="str">
        <f aca="false">A8</f>
        <v>Player 3</v>
      </c>
      <c r="K44" s="44"/>
      <c r="L44" s="29" t="str">
        <f aca="false">A20</f>
        <v>Player 15</v>
      </c>
      <c r="M44" s="44"/>
    </row>
    <row r="45" customFormat="false" ht="21.75" hidden="false" customHeight="true" outlineLevel="0" collapsed="false">
      <c r="A45" s="45"/>
      <c r="B45" s="29" t="str">
        <f aca="false">A20</f>
        <v>Player 15</v>
      </c>
      <c r="C45" s="46"/>
      <c r="D45" s="29" t="str">
        <f aca="false">A19</f>
        <v>Player 14</v>
      </c>
      <c r="E45" s="46"/>
      <c r="F45" s="29" t="str">
        <f aca="false">A15</f>
        <v>Player 10</v>
      </c>
      <c r="G45" s="46"/>
      <c r="H45" s="29" t="str">
        <f aca="false">A10</f>
        <v>Player 5</v>
      </c>
      <c r="I45" s="46"/>
      <c r="J45" s="29" t="str">
        <f aca="false">A12</f>
        <v>Player 7</v>
      </c>
      <c r="K45" s="46"/>
      <c r="L45" s="29" t="str">
        <f aca="false">A9</f>
        <v>Player 4</v>
      </c>
      <c r="M45" s="46"/>
    </row>
    <row r="46" customFormat="false" ht="18" hidden="false" customHeight="true" outlineLevel="0" collapsed="false">
      <c r="A46" s="47" t="s">
        <v>368</v>
      </c>
      <c r="B46" s="47" t="s">
        <v>369</v>
      </c>
      <c r="C46" s="44"/>
      <c r="D46" s="47" t="s">
        <v>369</v>
      </c>
      <c r="E46" s="44"/>
      <c r="F46" s="47" t="s">
        <v>369</v>
      </c>
      <c r="G46" s="44"/>
      <c r="H46" s="47" t="s">
        <v>369</v>
      </c>
      <c r="I46" s="44"/>
      <c r="J46" s="47" t="s">
        <v>369</v>
      </c>
      <c r="K46" s="44"/>
      <c r="L46" s="47" t="s">
        <v>369</v>
      </c>
      <c r="M46" s="44"/>
    </row>
    <row r="47" customFormat="false" ht="21.75" hidden="false" customHeight="true" outlineLevel="0" collapsed="false">
      <c r="A47" s="43" t="s">
        <v>370</v>
      </c>
      <c r="B47" s="29" t="str">
        <f aca="false">A19</f>
        <v>Player 14</v>
      </c>
      <c r="C47" s="44"/>
      <c r="D47" s="29" t="str">
        <f aca="false">A17</f>
        <v>Player 12</v>
      </c>
      <c r="E47" s="44"/>
      <c r="F47" s="29" t="str">
        <f aca="false">A11</f>
        <v>Player 6</v>
      </c>
      <c r="G47" s="44"/>
      <c r="H47" s="29" t="str">
        <f aca="false">A8</f>
        <v>Player 3</v>
      </c>
      <c r="I47" s="44"/>
      <c r="J47" s="29" t="str">
        <f aca="false">A6</f>
        <v>Player 1</v>
      </c>
      <c r="K47" s="44"/>
      <c r="L47" s="29" t="str">
        <f aca="false">A16</f>
        <v>Player 11</v>
      </c>
      <c r="M47" s="44"/>
    </row>
    <row r="48" customFormat="false" ht="21.75" hidden="false" customHeight="true" outlineLevel="0" collapsed="false">
      <c r="A48" s="45"/>
      <c r="B48" s="29" t="str">
        <f aca="false">A10</f>
        <v>Player 5</v>
      </c>
      <c r="C48" s="46"/>
      <c r="D48" s="29" t="str">
        <f aca="false">A11</f>
        <v>Player 6</v>
      </c>
      <c r="E48" s="46"/>
      <c r="F48" s="29" t="str">
        <f aca="false">A21</f>
        <v>Player 16</v>
      </c>
      <c r="G48" s="46"/>
      <c r="H48" s="29" t="str">
        <f aca="false">A13</f>
        <v>Player 8</v>
      </c>
      <c r="I48" s="46"/>
      <c r="J48" s="29" t="str">
        <f aca="false">A13</f>
        <v>Player 8</v>
      </c>
      <c r="K48" s="46"/>
      <c r="L48" s="29" t="str">
        <f aca="false">A8</f>
        <v>Player 3</v>
      </c>
      <c r="M48" s="46"/>
    </row>
  </sheetData>
  <mergeCells count="10">
    <mergeCell ref="A1:M1"/>
    <mergeCell ref="A2:M2"/>
    <mergeCell ref="A4:G4"/>
    <mergeCell ref="A23:M23"/>
    <mergeCell ref="B24:C24"/>
    <mergeCell ref="D24:E24"/>
    <mergeCell ref="F24:G24"/>
    <mergeCell ref="H24:I24"/>
    <mergeCell ref="J24:K24"/>
    <mergeCell ref="L24:M2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5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3" topLeftCell="A2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12"/>
    <col collapsed="false" customWidth="true" hidden="false" outlineLevel="0" max="3" min="3" style="0" width="7"/>
    <col collapsed="false" customWidth="true" hidden="false" outlineLevel="0" max="4" min="4" style="0" width="12"/>
    <col collapsed="false" customWidth="true" hidden="false" outlineLevel="0" max="5" min="5" style="0" width="7"/>
    <col collapsed="false" customWidth="true" hidden="false" outlineLevel="0" max="6" min="6" style="0" width="12"/>
    <col collapsed="false" customWidth="true" hidden="false" outlineLevel="0" max="7" min="7" style="0" width="7"/>
    <col collapsed="false" customWidth="true" hidden="false" outlineLevel="0" max="8" min="8" style="0" width="12"/>
    <col collapsed="false" customWidth="true" hidden="false" outlineLevel="0" max="9" min="9" style="0" width="7"/>
    <col collapsed="false" customWidth="true" hidden="false" outlineLevel="0" max="10" min="10" style="0" width="12"/>
    <col collapsed="false" customWidth="true" hidden="false" outlineLevel="0" max="11" min="11" style="0" width="7"/>
    <col collapsed="false" customWidth="true" hidden="false" outlineLevel="0" max="12" min="12" style="0" width="12"/>
    <col collapsed="false" customWidth="true" hidden="false" outlineLevel="0" max="13" min="13" style="0" width="7"/>
  </cols>
  <sheetData>
    <row r="1" customFormat="false" ht="22.05" hidden="false" customHeight="false" outlineLevel="0" collapsed="false">
      <c r="A1" s="36" t="s">
        <v>412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</row>
    <row r="2" customFormat="false" ht="15" hidden="false" customHeight="false" outlineLevel="0" collapsed="false">
      <c r="A2" s="37" t="s">
        <v>413</v>
      </c>
      <c r="B2" s="37"/>
      <c r="C2" s="37"/>
      <c r="D2" s="37"/>
      <c r="E2" s="37"/>
      <c r="F2" s="37"/>
      <c r="G2" s="37"/>
      <c r="H2" s="37"/>
      <c r="I2" s="37"/>
      <c r="J2" s="37"/>
      <c r="K2" s="37"/>
      <c r="L2" s="37"/>
      <c r="M2" s="37"/>
    </row>
    <row r="4" customFormat="false" ht="15" hidden="false" customHeight="true" outlineLevel="0" collapsed="false">
      <c r="A4" s="18" t="s">
        <v>346</v>
      </c>
      <c r="B4" s="18"/>
      <c r="C4" s="18"/>
      <c r="D4" s="18"/>
      <c r="E4" s="18"/>
      <c r="F4" s="18"/>
      <c r="G4" s="18"/>
    </row>
    <row r="5" customFormat="false" ht="21.75" hidden="false" customHeight="true" outlineLevel="0" collapsed="false">
      <c r="A5" s="38" t="s">
        <v>347</v>
      </c>
      <c r="B5" s="38" t="s">
        <v>348</v>
      </c>
      <c r="C5" s="38" t="s">
        <v>349</v>
      </c>
      <c r="D5" s="38" t="s">
        <v>350</v>
      </c>
      <c r="E5" s="38" t="s">
        <v>351</v>
      </c>
      <c r="F5" s="38" t="s">
        <v>352</v>
      </c>
      <c r="G5" s="38" t="s">
        <v>353</v>
      </c>
    </row>
    <row r="6" customFormat="false" ht="15" hidden="false" customHeight="false" outlineLevel="0" collapsed="false">
      <c r="A6" s="39" t="s">
        <v>354</v>
      </c>
      <c r="B6" s="40" t="n">
        <f aca="false">IF(C31&gt;C28,1,0)+IF(E31&gt;E28,1,0)+IF(K31&gt;K28,1,0)+IF(G43&gt;G40,1,0)+IF(I40&gt;I43,1,0)+IF(M49&gt;M46,1,0)</f>
        <v>0</v>
      </c>
      <c r="C6" s="40" t="n">
        <f aca="false">N(C31)+N(E31)+N(K31)+N(G43)+N(I40)+N(M49)</f>
        <v>0</v>
      </c>
      <c r="D6" s="40" t="n">
        <f aca="false">N(C28)+N(E28)+N(K28)+N(G40)+N(I43)+N(M46)</f>
        <v>0</v>
      </c>
      <c r="E6" s="40" t="n">
        <f aca="false">C6-D6</f>
        <v>0</v>
      </c>
      <c r="F6" s="40" t="n">
        <f aca="false">RANK(B6,$B$6:$B$22)+SUMPRODUCT(($B$6:$B$22=B6)*($E$6:$E$22&gt;E6))</f>
        <v>1</v>
      </c>
      <c r="G6" s="40" t="n">
        <f aca="false">IF(N(C31)+N(C28)&gt;0,1,0)+IF(N(E31)+N(E28)&gt;0,1,0)+IF(N(K31)+N(K28)&gt;0,1,0)+IF(N(G43)+N(G40)&gt;0,1,0)+IF(N(I40)+N(I43)&gt;0,1,0)+IF(N(M49)+N(M46)&gt;0,1,0)</f>
        <v>0</v>
      </c>
    </row>
    <row r="7" customFormat="false" ht="15" hidden="false" customHeight="false" outlineLevel="0" collapsed="false">
      <c r="A7" s="39" t="s">
        <v>355</v>
      </c>
      <c r="B7" s="40" t="n">
        <f aca="false">IF(E28&gt;E31,1,0)+IF(I31&gt;I28,1,0)+IF(M34&gt;M37,1,0)+IF(G40&gt;G43,1,0)+IF(K40&gt;K43,1,0)+IF(C46&gt;C49,1,0)</f>
        <v>0</v>
      </c>
      <c r="C7" s="40" t="n">
        <f aca="false">N(E28)+N(I31)+N(M34)+N(G40)+N(K40)+N(C46)</f>
        <v>0</v>
      </c>
      <c r="D7" s="40" t="n">
        <f aca="false">N(E31)+N(I28)+N(M37)+N(G43)+N(K43)+N(C49)</f>
        <v>0</v>
      </c>
      <c r="E7" s="40" t="n">
        <f aca="false">C7-D7</f>
        <v>0</v>
      </c>
      <c r="F7" s="40" t="n">
        <f aca="false">RANK(B7,$B$6:$B$22)+SUMPRODUCT(($B$6:$B$22=B7)*($E$6:$E$22&gt;E7))</f>
        <v>1</v>
      </c>
      <c r="G7" s="40" t="n">
        <f aca="false">IF(N(E28)+N(E31)&gt;0,1,0)+IF(N(I31)+N(I28)&gt;0,1,0)+IF(N(M34)+N(M37)&gt;0,1,0)+IF(N(G40)+N(G43)&gt;0,1,0)+IF(N(K40)+N(K43)&gt;0,1,0)+IF(N(C46)+N(C49)&gt;0,1,0)</f>
        <v>0</v>
      </c>
    </row>
    <row r="8" customFormat="false" ht="15" hidden="false" customHeight="false" outlineLevel="0" collapsed="false">
      <c r="A8" s="39" t="s">
        <v>356</v>
      </c>
      <c r="B8" s="40" t="n">
        <f aca="false">IF(K28&gt;K31,1,0)+IF(C37&gt;C34,1,0)+IF(E37&gt;E34,1,0)+IF(G40&gt;G43,1,0)+IF(I46&gt;I49,1,0)+IF(M49&gt;M46,1,0)</f>
        <v>0</v>
      </c>
      <c r="C8" s="40" t="n">
        <f aca="false">N(K28)+N(C37)+N(E37)+N(G40)+N(I46)+N(M49)</f>
        <v>0</v>
      </c>
      <c r="D8" s="40" t="n">
        <f aca="false">N(K31)+N(C34)+N(E34)+N(G43)+N(I49)+N(M46)</f>
        <v>0</v>
      </c>
      <c r="E8" s="40" t="n">
        <f aca="false">C8-D8</f>
        <v>0</v>
      </c>
      <c r="F8" s="40" t="n">
        <f aca="false">RANK(B8,$B$6:$B$22)+SUMPRODUCT(($B$6:$B$22=B8)*($E$6:$E$22&gt;E8))</f>
        <v>1</v>
      </c>
      <c r="G8" s="40" t="n">
        <f aca="false">IF(N(K28)+N(K31)&gt;0,1,0)+IF(N(C37)+N(C34)&gt;0,1,0)+IF(N(E37)+N(E34)&gt;0,1,0)+IF(N(G40)+N(G43)&gt;0,1,0)+IF(N(I46)+N(I49)&gt;0,1,0)+IF(N(M49)+N(M46)&gt;0,1,0)</f>
        <v>0</v>
      </c>
    </row>
    <row r="9" customFormat="false" ht="15" hidden="false" customHeight="false" outlineLevel="0" collapsed="false">
      <c r="A9" s="39" t="s">
        <v>357</v>
      </c>
      <c r="B9" s="40" t="n">
        <f aca="false">IF(K31&gt;K28,1,0)+IF(M31&gt;M28,1,0)+IF(C34&gt;C37,1,0)+IF(G37&gt;G34,1,0)+IF(I34&gt;I37,1,0)+IF(E49&gt;E46,1,0)</f>
        <v>0</v>
      </c>
      <c r="C9" s="40" t="n">
        <f aca="false">N(K31)+N(M31)+N(C34)+N(G37)+N(I34)+N(E49)</f>
        <v>0</v>
      </c>
      <c r="D9" s="40" t="n">
        <f aca="false">N(K28)+N(M28)+N(C37)+N(G34)+N(I37)+N(E46)</f>
        <v>0</v>
      </c>
      <c r="E9" s="40" t="n">
        <f aca="false">C9-D9</f>
        <v>0</v>
      </c>
      <c r="F9" s="40" t="n">
        <f aca="false">RANK(B9,$B$6:$B$22)+SUMPRODUCT(($B$6:$B$22=B9)*($E$6:$E$22&gt;E9))</f>
        <v>1</v>
      </c>
      <c r="G9" s="40" t="n">
        <f aca="false">IF(N(K31)+N(K28)&gt;0,1,0)+IF(N(M31)+N(M28)&gt;0,1,0)+IF(N(C34)+N(C37)&gt;0,1,0)+IF(N(G37)+N(G34)&gt;0,1,0)+IF(N(I34)+N(I37)&gt;0,1,0)+IF(N(E49)+N(E46)&gt;0,1,0)</f>
        <v>0</v>
      </c>
    </row>
    <row r="10" customFormat="false" ht="15" hidden="false" customHeight="false" outlineLevel="0" collapsed="false">
      <c r="A10" s="39" t="s">
        <v>373</v>
      </c>
      <c r="B10" s="40" t="n">
        <f aca="false">IF(E34&gt;E37,1,0)+IF(G34&gt;G37,1,0)+IF(K37&gt;K34,1,0)+IF(C40&gt;C43,1,0)+IF(I43&gt;I40,1,0)+IF(M40&gt;M43,1,0)</f>
        <v>0</v>
      </c>
      <c r="C10" s="40" t="n">
        <f aca="false">N(E34)+N(G34)+N(K37)+N(C40)+N(I43)+N(M40)</f>
        <v>0</v>
      </c>
      <c r="D10" s="40" t="n">
        <f aca="false">N(E37)+N(G37)+N(K34)+N(C43)+N(I40)+N(M43)</f>
        <v>0</v>
      </c>
      <c r="E10" s="40" t="n">
        <f aca="false">C10-D10</f>
        <v>0</v>
      </c>
      <c r="F10" s="40" t="n">
        <f aca="false">RANK(B10,$B$6:$B$22)+SUMPRODUCT(($B$6:$B$22=B10)*($E$6:$E$22&gt;E10))</f>
        <v>1</v>
      </c>
      <c r="G10" s="40" t="n">
        <f aca="false">IF(N(E34)+N(E37)&gt;0,1,0)+IF(N(G34)+N(G37)&gt;0,1,0)+IF(N(K37)+N(K34)&gt;0,1,0)+IF(N(C40)+N(C43)&gt;0,1,0)+IF(N(I43)+N(I40)&gt;0,1,0)+IF(N(M40)+N(M43)&gt;0,1,0)</f>
        <v>0</v>
      </c>
    </row>
    <row r="11" customFormat="false" ht="15" hidden="false" customHeight="false" outlineLevel="0" collapsed="false">
      <c r="A11" s="39" t="s">
        <v>377</v>
      </c>
      <c r="B11" s="40" t="n">
        <f aca="false">IF(M28&gt;M31,1,0)+IF(G37&gt;G34,1,0)+IF(K34&gt;K37,1,0)+IF(E40&gt;E43,1,0)+IF(C49&gt;C46,1,0)+IF(I46&gt;I49,1,0)</f>
        <v>0</v>
      </c>
      <c r="C11" s="40" t="n">
        <f aca="false">N(M28)+N(G37)+N(K34)+N(E40)+N(C49)+N(I46)</f>
        <v>0</v>
      </c>
      <c r="D11" s="40" t="n">
        <f aca="false">N(M31)+N(G34)+N(K37)+N(E43)+N(C46)+N(I49)</f>
        <v>0</v>
      </c>
      <c r="E11" s="40" t="n">
        <f aca="false">C11-D11</f>
        <v>0</v>
      </c>
      <c r="F11" s="40" t="n">
        <f aca="false">RANK(B11,$B$6:$B$22)+SUMPRODUCT(($B$6:$B$22=B11)*($E$6:$E$22&gt;E11))</f>
        <v>1</v>
      </c>
      <c r="G11" s="40" t="n">
        <f aca="false">IF(N(M28)+N(M31)&gt;0,1,0)+IF(N(G37)+N(G34)&gt;0,1,0)+IF(N(K34)+N(K37)&gt;0,1,0)+IF(N(E40)+N(E43)&gt;0,1,0)+IF(N(C49)+N(C46)&gt;0,1,0)+IF(N(I46)+N(I49)&gt;0,1,0)</f>
        <v>0</v>
      </c>
    </row>
    <row r="12" customFormat="false" ht="15" hidden="false" customHeight="false" outlineLevel="0" collapsed="false">
      <c r="A12" s="39" t="s">
        <v>380</v>
      </c>
      <c r="B12" s="40" t="n">
        <f aca="false">IF(G31&gt;G28,1,0)+IF(I28&gt;I31,1,0)+IF(C37&gt;C34,1,0)+IF(E40&gt;E43,1,0)+IF(K43&gt;K40,1,0)+IF(M43&gt;M40,1,0)</f>
        <v>0</v>
      </c>
      <c r="C12" s="40" t="n">
        <f aca="false">N(G31)+N(I28)+N(C37)+N(E40)+N(K43)+N(M43)</f>
        <v>0</v>
      </c>
      <c r="D12" s="40" t="n">
        <f aca="false">N(G28)+N(I31)+N(C34)+N(E43)+N(K40)+N(M40)</f>
        <v>0</v>
      </c>
      <c r="E12" s="40" t="n">
        <f aca="false">C12-D12</f>
        <v>0</v>
      </c>
      <c r="F12" s="40" t="n">
        <f aca="false">RANK(B12,$B$6:$B$22)+SUMPRODUCT(($B$6:$B$22=B12)*($E$6:$E$22&gt;E12))</f>
        <v>1</v>
      </c>
      <c r="G12" s="40" t="n">
        <f aca="false">IF(N(G31)+N(G28)&gt;0,1,0)+IF(N(I28)+N(I31)&gt;0,1,0)+IF(N(C37)+N(C34)&gt;0,1,0)+IF(N(E40)+N(E43)&gt;0,1,0)+IF(N(K43)+N(K40)&gt;0,1,0)+IF(N(M43)+N(M40)&gt;0,1,0)</f>
        <v>0</v>
      </c>
    </row>
    <row r="13" customFormat="false" ht="15" hidden="false" customHeight="false" outlineLevel="0" collapsed="false">
      <c r="A13" s="39" t="s">
        <v>384</v>
      </c>
      <c r="B13" s="40" t="n">
        <f aca="false">IF(C28&gt;C31,1,0)+IF(E31&gt;E28,1,0)+IF(G31&gt;G28,1,0)+IF(K40&gt;K43,1,0)+IF(I49&gt;I46,1,0)+IF(M46&gt;M49,1,0)</f>
        <v>0</v>
      </c>
      <c r="C13" s="40" t="n">
        <f aca="false">N(C28)+N(E31)+N(G31)+N(K40)+N(I49)+N(M46)</f>
        <v>0</v>
      </c>
      <c r="D13" s="40" t="n">
        <f aca="false">N(C31)+N(E28)+N(G28)+N(K43)+N(I46)+N(M49)</f>
        <v>0</v>
      </c>
      <c r="E13" s="40" t="n">
        <f aca="false">C13-D13</f>
        <v>0</v>
      </c>
      <c r="F13" s="40" t="n">
        <f aca="false">RANK(B13,$B$6:$B$22)+SUMPRODUCT(($B$6:$B$22=B13)*($E$6:$E$22&gt;E13))</f>
        <v>1</v>
      </c>
      <c r="G13" s="40" t="n">
        <f aca="false">IF(N(C28)+N(C31)&gt;0,1,0)+IF(N(E31)+N(E28)&gt;0,1,0)+IF(N(G31)+N(G28)&gt;0,1,0)+IF(N(K40)+N(K43)&gt;0,1,0)+IF(N(I49)+N(I46)&gt;0,1,0)+IF(N(M46)+N(M49)&gt;0,1,0)</f>
        <v>0</v>
      </c>
    </row>
    <row r="14" customFormat="false" ht="15" hidden="false" customHeight="false" outlineLevel="0" collapsed="false">
      <c r="A14" s="39" t="s">
        <v>388</v>
      </c>
      <c r="B14" s="40" t="n">
        <f aca="false">IF(E37&gt;E34,1,0)+IF(I34&gt;I37,1,0)+IF(M40&gt;M43,1,0)+IF(C46&gt;C49,1,0)+IF(G49&gt;G46,1,0)+IF(K46&gt;K49,1,0)</f>
        <v>0</v>
      </c>
      <c r="C14" s="40" t="n">
        <f aca="false">N(E37)+N(I34)+N(M40)+N(C46)+N(G49)+N(K46)</f>
        <v>0</v>
      </c>
      <c r="D14" s="40" t="n">
        <f aca="false">N(E34)+N(I37)+N(M43)+N(C49)+N(G46)+N(K49)</f>
        <v>0</v>
      </c>
      <c r="E14" s="40" t="n">
        <f aca="false">C14-D14</f>
        <v>0</v>
      </c>
      <c r="F14" s="40" t="n">
        <f aca="false">RANK(B14,$B$6:$B$22)+SUMPRODUCT(($B$6:$B$22=B14)*($E$6:$E$22&gt;E14))</f>
        <v>1</v>
      </c>
      <c r="G14" s="40" t="n">
        <f aca="false">IF(N(E37)+N(E34)&gt;0,1,0)+IF(N(I34)+N(I37)&gt;0,1,0)+IF(N(M40)+N(M43)&gt;0,1,0)+IF(N(C46)+N(C49)&gt;0,1,0)+IF(N(G49)+N(G46)&gt;0,1,0)+IF(N(K46)+N(K49)&gt;0,1,0)</f>
        <v>0</v>
      </c>
    </row>
    <row r="15" customFormat="false" ht="15" hidden="false" customHeight="false" outlineLevel="0" collapsed="false">
      <c r="A15" s="39" t="s">
        <v>391</v>
      </c>
      <c r="B15" s="40" t="n">
        <f aca="false">IF(C28&gt;C31,1,0)+IF(K34&gt;K37,1,0)+IF(I43&gt;I40,1,0)+IF(M43&gt;M40,1,0)+IF(E46&gt;E49,1,0)+IF(G46&gt;G49,1,0)</f>
        <v>0</v>
      </c>
      <c r="C15" s="40" t="n">
        <f aca="false">N(C28)+N(K34)+N(I43)+N(M43)+N(E46)+N(G46)</f>
        <v>0</v>
      </c>
      <c r="D15" s="40" t="n">
        <f aca="false">N(C31)+N(K37)+N(I40)+N(M40)+N(E49)+N(G49)</f>
        <v>0</v>
      </c>
      <c r="E15" s="40" t="n">
        <f aca="false">C15-D15</f>
        <v>0</v>
      </c>
      <c r="F15" s="40" t="n">
        <f aca="false">RANK(B15,$B$6:$B$22)+SUMPRODUCT(($B$6:$B$22=B15)*($E$6:$E$22&gt;E15))</f>
        <v>1</v>
      </c>
      <c r="G15" s="40" t="n">
        <f aca="false">IF(N(C28)+N(C31)&gt;0,1,0)+IF(N(K34)+N(K37)&gt;0,1,0)+IF(N(I43)+N(I40)&gt;0,1,0)+IF(N(M43)+N(M40)&gt;0,1,0)+IF(N(E46)+N(E49)&gt;0,1,0)+IF(N(G46)+N(G49)&gt;0,1,0)</f>
        <v>0</v>
      </c>
    </row>
    <row r="16" customFormat="false" ht="15" hidden="false" customHeight="false" outlineLevel="0" collapsed="false">
      <c r="A16" s="39" t="s">
        <v>394</v>
      </c>
      <c r="B16" s="40" t="n">
        <f aca="false">IF(G28&gt;G31,1,0)+IF(I37&gt;I34,1,0)+IF(M34&gt;M37,1,0)+IF(C43&gt;C40,1,0)+IF(K43&gt;K40,1,0)+IF(E46&gt;E49,1,0)</f>
        <v>0</v>
      </c>
      <c r="C16" s="40" t="n">
        <f aca="false">N(G28)+N(I37)+N(M34)+N(C43)+N(K43)+N(E46)</f>
        <v>0</v>
      </c>
      <c r="D16" s="40" t="n">
        <f aca="false">N(G31)+N(I34)+N(M37)+N(C40)+N(K40)+N(E49)</f>
        <v>0</v>
      </c>
      <c r="E16" s="40" t="n">
        <f aca="false">C16-D16</f>
        <v>0</v>
      </c>
      <c r="F16" s="40" t="n">
        <f aca="false">RANK(B16,$B$6:$B$22)+SUMPRODUCT(($B$6:$B$22=B16)*($E$6:$E$22&gt;E16))</f>
        <v>1</v>
      </c>
      <c r="G16" s="40" t="n">
        <f aca="false">IF(N(G28)+N(G31)&gt;0,1,0)+IF(N(I37)+N(I34)&gt;0,1,0)+IF(N(M34)+N(M37)&gt;0,1,0)+IF(N(C43)+N(C40)&gt;0,1,0)+IF(N(K43)+N(K40)&gt;0,1,0)+IF(N(E46)+N(E49)&gt;0,1,0)</f>
        <v>0</v>
      </c>
    </row>
    <row r="17" customFormat="false" ht="15" hidden="false" customHeight="false" outlineLevel="0" collapsed="false">
      <c r="A17" s="39" t="s">
        <v>397</v>
      </c>
      <c r="B17" s="40" t="n">
        <f aca="false">IF(I28&gt;I31,1,0)+IF(K28&gt;K31,1,0)+IF(C40&gt;C43,1,0)+IF(E43&gt;E40,1,0)+IF(G43&gt;G40,1,0)</f>
        <v>0</v>
      </c>
      <c r="C17" s="40" t="n">
        <f aca="false">N(I28)+N(K28)+N(C40)+N(E43)+N(G43)</f>
        <v>0</v>
      </c>
      <c r="D17" s="40" t="n">
        <f aca="false">N(I31)+N(K31)+N(C43)+N(E40)+N(G40)</f>
        <v>0</v>
      </c>
      <c r="E17" s="40" t="n">
        <f aca="false">C17-D17</f>
        <v>0</v>
      </c>
      <c r="F17" s="40" t="n">
        <f aca="false">RANK(B17,$B$6:$B$22)+SUMPRODUCT(($B$6:$B$22=B17)*($E$6:$E$22&gt;E17))</f>
        <v>1</v>
      </c>
      <c r="G17" s="40" t="n">
        <f aca="false">IF(N(I28)+N(I31)&gt;0,1,0)+IF(N(K28)+N(K31)&gt;0,1,0)+IF(N(C40)+N(C43)&gt;0,1,0)+IF(N(E43)+N(E40)&gt;0,1,0)+IF(N(G43)+N(G40)&gt;0,1,0)</f>
        <v>0</v>
      </c>
    </row>
    <row r="18" customFormat="false" ht="15" hidden="false" customHeight="false" outlineLevel="0" collapsed="false">
      <c r="A18" s="39" t="s">
        <v>401</v>
      </c>
      <c r="B18" s="40" t="n">
        <f aca="false">IF(E28&gt;E31,1,0)+IF(G34&gt;G37,1,0)+IF(M37&gt;M34,1,0)+IF(C43&gt;C40,1,0)+IF(I49&gt;I46,1,0)</f>
        <v>0</v>
      </c>
      <c r="C18" s="40" t="n">
        <f aca="false">N(E28)+N(G34)+N(M37)+N(C43)+N(I49)</f>
        <v>0</v>
      </c>
      <c r="D18" s="40" t="n">
        <f aca="false">N(E31)+N(G37)+N(M34)+N(C40)+N(I46)</f>
        <v>0</v>
      </c>
      <c r="E18" s="40" t="n">
        <f aca="false">C18-D18</f>
        <v>0</v>
      </c>
      <c r="F18" s="40" t="n">
        <f aca="false">RANK(B18,$B$6:$B$22)+SUMPRODUCT(($B$6:$B$22=B18)*($E$6:$E$22&gt;E18))</f>
        <v>1</v>
      </c>
      <c r="G18" s="40" t="n">
        <f aca="false">IF(N(E28)+N(E31)&gt;0,1,0)+IF(N(G34)+N(G37)&gt;0,1,0)+IF(N(M37)+N(M34)&gt;0,1,0)+IF(N(C43)+N(C40)&gt;0,1,0)+IF(N(I49)+N(I46)&gt;0,1,0)</f>
        <v>0</v>
      </c>
    </row>
    <row r="19" customFormat="false" ht="15" hidden="false" customHeight="false" outlineLevel="0" collapsed="false">
      <c r="A19" s="39" t="s">
        <v>404</v>
      </c>
      <c r="B19" s="40" t="n">
        <f aca="false">IF(K37&gt;K34,1,0)+IF(M37&gt;M34,1,0)+IF(E43&gt;E40,1,0)+IF(C49&gt;C46,1,0)+IF(G46&gt;G49,1,0)</f>
        <v>0</v>
      </c>
      <c r="C19" s="40" t="n">
        <f aca="false">N(K37)+N(M37)+N(E43)+N(C49)+N(G46)</f>
        <v>0</v>
      </c>
      <c r="D19" s="40" t="n">
        <f aca="false">N(K34)+N(M34)+N(E40)+N(C46)+N(G49)</f>
        <v>0</v>
      </c>
      <c r="E19" s="40" t="n">
        <f aca="false">C19-D19</f>
        <v>0</v>
      </c>
      <c r="F19" s="40" t="n">
        <f aca="false">RANK(B19,$B$6:$B$22)+SUMPRODUCT(($B$6:$B$22=B19)*($E$6:$E$22&gt;E19))</f>
        <v>1</v>
      </c>
      <c r="G19" s="40" t="n">
        <f aca="false">IF(N(K37)+N(K34)&gt;0,1,0)+IF(N(M37)+N(M34)&gt;0,1,0)+IF(N(E43)+N(E40)&gt;0,1,0)+IF(N(C49)+N(C46)&gt;0,1,0)+IF(N(G46)+N(G49)&gt;0,1,0)</f>
        <v>0</v>
      </c>
    </row>
    <row r="20" customFormat="false" ht="15" hidden="false" customHeight="false" outlineLevel="0" collapsed="false">
      <c r="A20" s="39" t="s">
        <v>407</v>
      </c>
      <c r="B20" s="40" t="n">
        <f aca="false">IF(C31&gt;C28,1,0)+IF(I31&gt;I28,1,0)+IF(M31&gt;M28,1,0)+IF(E34&gt;E37,1,0)+IF(K49&gt;K46,1,0)</f>
        <v>0</v>
      </c>
      <c r="C20" s="40" t="n">
        <f aca="false">N(C31)+N(I31)+N(M31)+N(E34)+N(K49)</f>
        <v>0</v>
      </c>
      <c r="D20" s="40" t="n">
        <f aca="false">N(C28)+N(I28)+N(M28)+N(E37)+N(K46)</f>
        <v>0</v>
      </c>
      <c r="E20" s="40" t="n">
        <f aca="false">C20-D20</f>
        <v>0</v>
      </c>
      <c r="F20" s="40" t="n">
        <f aca="false">RANK(B20,$B$6:$B$22)+SUMPRODUCT(($B$6:$B$22=B20)*($E$6:$E$22&gt;E20))</f>
        <v>1</v>
      </c>
      <c r="G20" s="40" t="n">
        <f aca="false">IF(N(C31)+N(C28)&gt;0,1,0)+IF(N(I31)+N(I28)&gt;0,1,0)+IF(N(M31)+N(M28)&gt;0,1,0)+IF(N(E34)+N(E37)&gt;0,1,0)+IF(N(K49)+N(K46)&gt;0,1,0)</f>
        <v>0</v>
      </c>
    </row>
    <row r="21" customFormat="false" ht="15" hidden="false" customHeight="false" outlineLevel="0" collapsed="false">
      <c r="A21" s="39" t="s">
        <v>410</v>
      </c>
      <c r="B21" s="40" t="n">
        <f aca="false">IF(M28&gt;M31,1,0)+IF(C34&gt;C37,1,0)+IF(I37&gt;I34,1,0)+IF(G49&gt;G46,1,0)+IF(K49&gt;K46,1,0)</f>
        <v>0</v>
      </c>
      <c r="C21" s="40" t="n">
        <f aca="false">N(M28)+N(C34)+N(I37)+N(G49)+N(K49)</f>
        <v>0</v>
      </c>
      <c r="D21" s="40" t="n">
        <f aca="false">N(M31)+N(C37)+N(I34)+N(G46)+N(K46)</f>
        <v>0</v>
      </c>
      <c r="E21" s="40" t="n">
        <f aca="false">C21-D21</f>
        <v>0</v>
      </c>
      <c r="F21" s="40" t="n">
        <f aca="false">RANK(B21,$B$6:$B$22)+SUMPRODUCT(($B$6:$B$22=B21)*($E$6:$E$22&gt;E21))</f>
        <v>1</v>
      </c>
      <c r="G21" s="40" t="n">
        <f aca="false">IF(N(M28)+N(M31)&gt;0,1,0)+IF(N(C34)+N(C37)&gt;0,1,0)+IF(N(I37)+N(I34)&gt;0,1,0)+IF(N(G49)+N(G46)&gt;0,1,0)+IF(N(K49)+N(K46)&gt;0,1,0)</f>
        <v>0</v>
      </c>
    </row>
    <row r="22" customFormat="false" ht="15" hidden="false" customHeight="false" outlineLevel="0" collapsed="false">
      <c r="A22" s="39" t="s">
        <v>414</v>
      </c>
      <c r="B22" s="40" t="n">
        <f aca="false">IF(G28&gt;G31,1,0)+IF(I40&gt;I43,1,0)+IF(E49&gt;E46,1,0)+IF(K46&gt;K49,1,0)+IF(M46&gt;M49,1,0)</f>
        <v>0</v>
      </c>
      <c r="C22" s="40" t="n">
        <f aca="false">N(G28)+N(I40)+N(E49)+N(K46)+N(M46)</f>
        <v>0</v>
      </c>
      <c r="D22" s="40" t="n">
        <f aca="false">N(G31)+N(I43)+N(E46)+N(K49)+N(M49)</f>
        <v>0</v>
      </c>
      <c r="E22" s="40" t="n">
        <f aca="false">C22-D22</f>
        <v>0</v>
      </c>
      <c r="F22" s="40" t="n">
        <f aca="false">RANK(B22,$B$6:$B$22)+SUMPRODUCT(($B$6:$B$22=B22)*($E$6:$E$22&gt;E22))</f>
        <v>1</v>
      </c>
      <c r="G22" s="40" t="n">
        <f aca="false">IF(N(G28)+N(G31)&gt;0,1,0)+IF(N(I40)+N(I43)&gt;0,1,0)+IF(N(E49)+N(E46)&gt;0,1,0)+IF(N(K46)+N(K49)&gt;0,1,0)+IF(N(M46)+N(M49)&gt;0,1,0)</f>
        <v>0</v>
      </c>
    </row>
    <row r="24" customFormat="false" ht="15" hidden="false" customHeight="true" outlineLevel="0" collapsed="false">
      <c r="A24" s="18" t="s">
        <v>358</v>
      </c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</row>
    <row r="25" customFormat="false" ht="21.75" hidden="false" customHeight="true" outlineLevel="0" collapsed="false">
      <c r="A25" s="38" t="s">
        <v>359</v>
      </c>
      <c r="B25" s="41" t="s">
        <v>360</v>
      </c>
      <c r="C25" s="41"/>
      <c r="D25" s="41" t="s">
        <v>361</v>
      </c>
      <c r="E25" s="41"/>
      <c r="F25" s="41" t="s">
        <v>362</v>
      </c>
      <c r="G25" s="41"/>
      <c r="H25" s="41" t="s">
        <v>363</v>
      </c>
      <c r="I25" s="41"/>
      <c r="J25" s="41" t="s">
        <v>364</v>
      </c>
      <c r="K25" s="41"/>
      <c r="L25" s="41" t="s">
        <v>365</v>
      </c>
      <c r="M25" s="41"/>
    </row>
    <row r="26" customFormat="false" ht="21.75" hidden="false" customHeight="true" outlineLevel="0" collapsed="false">
      <c r="A26" s="42" t="s">
        <v>366</v>
      </c>
    </row>
    <row r="27" customFormat="false" ht="21.75" hidden="false" customHeight="true" outlineLevel="0" collapsed="false">
      <c r="A27" s="43" t="s">
        <v>367</v>
      </c>
      <c r="B27" s="29" t="str">
        <f aca="false">A13</f>
        <v>Player 8</v>
      </c>
      <c r="C27" s="44"/>
      <c r="D27" s="29" t="str">
        <f aca="false">A7</f>
        <v>Player 2</v>
      </c>
      <c r="E27" s="44"/>
      <c r="F27" s="29" t="str">
        <f aca="false">A22</f>
        <v>Player 17</v>
      </c>
      <c r="G27" s="44"/>
      <c r="H27" s="29" t="str">
        <f aca="false">A12</f>
        <v>Player 7</v>
      </c>
      <c r="I27" s="44"/>
      <c r="J27" s="29" t="str">
        <f aca="false">A17</f>
        <v>Player 12</v>
      </c>
      <c r="K27" s="44"/>
      <c r="L27" s="29" t="str">
        <f aca="false">A21</f>
        <v>Player 16</v>
      </c>
      <c r="M27" s="44"/>
    </row>
    <row r="28" customFormat="false" ht="21.75" hidden="false" customHeight="true" outlineLevel="0" collapsed="false">
      <c r="A28" s="45"/>
      <c r="B28" s="29" t="str">
        <f aca="false">A15</f>
        <v>Player 10</v>
      </c>
      <c r="C28" s="46"/>
      <c r="D28" s="29" t="str">
        <f aca="false">A18</f>
        <v>Player 13</v>
      </c>
      <c r="E28" s="46"/>
      <c r="F28" s="29" t="str">
        <f aca="false">A16</f>
        <v>Player 11</v>
      </c>
      <c r="G28" s="46"/>
      <c r="H28" s="29" t="str">
        <f aca="false">A17</f>
        <v>Player 12</v>
      </c>
      <c r="I28" s="46"/>
      <c r="J28" s="29" t="str">
        <f aca="false">A8</f>
        <v>Player 3</v>
      </c>
      <c r="K28" s="46"/>
      <c r="L28" s="29" t="str">
        <f aca="false">A11</f>
        <v>Player 6</v>
      </c>
      <c r="M28" s="46"/>
    </row>
    <row r="29" customFormat="false" ht="18" hidden="false" customHeight="true" outlineLevel="0" collapsed="false">
      <c r="A29" s="47" t="s">
        <v>368</v>
      </c>
      <c r="B29" s="47" t="s">
        <v>369</v>
      </c>
      <c r="C29" s="44"/>
      <c r="D29" s="47" t="s">
        <v>369</v>
      </c>
      <c r="E29" s="44"/>
      <c r="F29" s="47" t="s">
        <v>369</v>
      </c>
      <c r="G29" s="44"/>
      <c r="H29" s="47" t="s">
        <v>369</v>
      </c>
      <c r="I29" s="44"/>
      <c r="J29" s="47" t="s">
        <v>369</v>
      </c>
      <c r="K29" s="44"/>
      <c r="L29" s="47" t="s">
        <v>369</v>
      </c>
      <c r="M29" s="44"/>
    </row>
    <row r="30" customFormat="false" ht="21.75" hidden="false" customHeight="true" outlineLevel="0" collapsed="false">
      <c r="A30" s="43" t="s">
        <v>370</v>
      </c>
      <c r="B30" s="29" t="str">
        <f aca="false">A20</f>
        <v>Player 15</v>
      </c>
      <c r="C30" s="44"/>
      <c r="D30" s="29" t="str">
        <f aca="false">A13</f>
        <v>Player 8</v>
      </c>
      <c r="E30" s="44"/>
      <c r="F30" s="29" t="str">
        <f aca="false">A12</f>
        <v>Player 7</v>
      </c>
      <c r="G30" s="44"/>
      <c r="H30" s="29" t="str">
        <f aca="false">A20</f>
        <v>Player 15</v>
      </c>
      <c r="I30" s="44"/>
      <c r="J30" s="29" t="str">
        <f aca="false">A6</f>
        <v>Player 1</v>
      </c>
      <c r="K30" s="44"/>
      <c r="L30" s="29" t="str">
        <f aca="false">A9</f>
        <v>Player 4</v>
      </c>
      <c r="M30" s="44"/>
    </row>
    <row r="31" customFormat="false" ht="21.75" hidden="false" customHeight="true" outlineLevel="0" collapsed="false">
      <c r="A31" s="45"/>
      <c r="B31" s="29" t="str">
        <f aca="false">A6</f>
        <v>Player 1</v>
      </c>
      <c r="C31" s="46"/>
      <c r="D31" s="29" t="str">
        <f aca="false">A6</f>
        <v>Player 1</v>
      </c>
      <c r="E31" s="46"/>
      <c r="F31" s="29" t="str">
        <f aca="false">A13</f>
        <v>Player 8</v>
      </c>
      <c r="G31" s="46"/>
      <c r="H31" s="29" t="str">
        <f aca="false">A7</f>
        <v>Player 2</v>
      </c>
      <c r="I31" s="46"/>
      <c r="J31" s="29" t="str">
        <f aca="false">A9</f>
        <v>Player 4</v>
      </c>
      <c r="K31" s="46"/>
      <c r="L31" s="29" t="str">
        <f aca="false">A20</f>
        <v>Player 15</v>
      </c>
      <c r="M31" s="46"/>
    </row>
    <row r="32" customFormat="false" ht="21.75" hidden="false" customHeight="true" outlineLevel="0" collapsed="false">
      <c r="A32" s="42" t="s">
        <v>385</v>
      </c>
    </row>
    <row r="33" customFormat="false" ht="21.75" hidden="false" customHeight="true" outlineLevel="0" collapsed="false">
      <c r="A33" s="43" t="s">
        <v>367</v>
      </c>
      <c r="B33" s="29" t="str">
        <f aca="false">A9</f>
        <v>Player 4</v>
      </c>
      <c r="C33" s="44"/>
      <c r="D33" s="29" t="str">
        <f aca="false">A10</f>
        <v>Player 5</v>
      </c>
      <c r="E33" s="44"/>
      <c r="F33" s="29" t="str">
        <f aca="false">A18</f>
        <v>Player 13</v>
      </c>
      <c r="G33" s="44"/>
      <c r="H33" s="29" t="str">
        <f aca="false">A9</f>
        <v>Player 4</v>
      </c>
      <c r="I33" s="44"/>
      <c r="J33" s="29" t="str">
        <f aca="false">A15</f>
        <v>Player 10</v>
      </c>
      <c r="K33" s="44"/>
      <c r="L33" s="29" t="str">
        <f aca="false">A7</f>
        <v>Player 2</v>
      </c>
      <c r="M33" s="44"/>
    </row>
    <row r="34" customFormat="false" ht="21.75" hidden="false" customHeight="true" outlineLevel="0" collapsed="false">
      <c r="A34" s="45"/>
      <c r="B34" s="29" t="str">
        <f aca="false">A21</f>
        <v>Player 16</v>
      </c>
      <c r="C34" s="46"/>
      <c r="D34" s="29" t="str">
        <f aca="false">A20</f>
        <v>Player 15</v>
      </c>
      <c r="E34" s="46"/>
      <c r="F34" s="29" t="str">
        <f aca="false">A10</f>
        <v>Player 5</v>
      </c>
      <c r="G34" s="46"/>
      <c r="H34" s="29" t="str">
        <f aca="false">A14</f>
        <v>Player 9</v>
      </c>
      <c r="I34" s="46"/>
      <c r="J34" s="29" t="str">
        <f aca="false">A11</f>
        <v>Player 6</v>
      </c>
      <c r="K34" s="46"/>
      <c r="L34" s="29" t="str">
        <f aca="false">A16</f>
        <v>Player 11</v>
      </c>
      <c r="M34" s="46"/>
    </row>
    <row r="35" customFormat="false" ht="18" hidden="false" customHeight="true" outlineLevel="0" collapsed="false">
      <c r="A35" s="47" t="s">
        <v>368</v>
      </c>
      <c r="B35" s="47" t="s">
        <v>369</v>
      </c>
      <c r="C35" s="44"/>
      <c r="D35" s="47" t="s">
        <v>369</v>
      </c>
      <c r="E35" s="44"/>
      <c r="F35" s="47" t="s">
        <v>369</v>
      </c>
      <c r="G35" s="44"/>
      <c r="H35" s="47" t="s">
        <v>369</v>
      </c>
      <c r="I35" s="44"/>
      <c r="J35" s="47" t="s">
        <v>369</v>
      </c>
      <c r="K35" s="44"/>
      <c r="L35" s="47" t="s">
        <v>369</v>
      </c>
      <c r="M35" s="44"/>
    </row>
    <row r="36" customFormat="false" ht="21.75" hidden="false" customHeight="true" outlineLevel="0" collapsed="false">
      <c r="A36" s="43" t="s">
        <v>370</v>
      </c>
      <c r="B36" s="29" t="str">
        <f aca="false">A12</f>
        <v>Player 7</v>
      </c>
      <c r="C36" s="44"/>
      <c r="D36" s="29" t="str">
        <f aca="false">A8</f>
        <v>Player 3</v>
      </c>
      <c r="E36" s="44"/>
      <c r="F36" s="29" t="str">
        <f aca="false">A11</f>
        <v>Player 6</v>
      </c>
      <c r="G36" s="44"/>
      <c r="H36" s="29" t="str">
        <f aca="false">A16</f>
        <v>Player 11</v>
      </c>
      <c r="I36" s="44"/>
      <c r="J36" s="29" t="str">
        <f aca="false">A19</f>
        <v>Player 14</v>
      </c>
      <c r="K36" s="44"/>
      <c r="L36" s="29" t="str">
        <f aca="false">A19</f>
        <v>Player 14</v>
      </c>
      <c r="M36" s="44"/>
    </row>
    <row r="37" customFormat="false" ht="21.75" hidden="false" customHeight="true" outlineLevel="0" collapsed="false">
      <c r="A37" s="45"/>
      <c r="B37" s="29" t="str">
        <f aca="false">A8</f>
        <v>Player 3</v>
      </c>
      <c r="C37" s="46"/>
      <c r="D37" s="29" t="str">
        <f aca="false">A14</f>
        <v>Player 9</v>
      </c>
      <c r="E37" s="46"/>
      <c r="F37" s="29" t="str">
        <f aca="false">A9</f>
        <v>Player 4</v>
      </c>
      <c r="G37" s="46"/>
      <c r="H37" s="29" t="str">
        <f aca="false">A21</f>
        <v>Player 16</v>
      </c>
      <c r="I37" s="46"/>
      <c r="J37" s="29" t="str">
        <f aca="false">A10</f>
        <v>Player 5</v>
      </c>
      <c r="K37" s="46"/>
      <c r="L37" s="29" t="str">
        <f aca="false">A18</f>
        <v>Player 13</v>
      </c>
      <c r="M37" s="46"/>
    </row>
    <row r="38" customFormat="false" ht="21.75" hidden="false" customHeight="true" outlineLevel="0" collapsed="false">
      <c r="A38" s="42" t="s">
        <v>398</v>
      </c>
    </row>
    <row r="39" customFormat="false" ht="21.75" hidden="false" customHeight="true" outlineLevel="0" collapsed="false">
      <c r="A39" s="43" t="s">
        <v>367</v>
      </c>
      <c r="B39" s="29" t="str">
        <f aca="false">A10</f>
        <v>Player 5</v>
      </c>
      <c r="C39" s="44"/>
      <c r="D39" s="29" t="str">
        <f aca="false">A12</f>
        <v>Player 7</v>
      </c>
      <c r="E39" s="44"/>
      <c r="F39" s="29" t="str">
        <f aca="false">A8</f>
        <v>Player 3</v>
      </c>
      <c r="G39" s="44"/>
      <c r="H39" s="29" t="str">
        <f aca="false">A6</f>
        <v>Player 1</v>
      </c>
      <c r="I39" s="44"/>
      <c r="J39" s="29" t="str">
        <f aca="false">A13</f>
        <v>Player 8</v>
      </c>
      <c r="K39" s="44"/>
      <c r="L39" s="29" t="str">
        <f aca="false">A14</f>
        <v>Player 9</v>
      </c>
      <c r="M39" s="44"/>
    </row>
    <row r="40" customFormat="false" ht="21.75" hidden="false" customHeight="true" outlineLevel="0" collapsed="false">
      <c r="A40" s="45"/>
      <c r="B40" s="29" t="str">
        <f aca="false">A17</f>
        <v>Player 12</v>
      </c>
      <c r="C40" s="46"/>
      <c r="D40" s="29" t="str">
        <f aca="false">A11</f>
        <v>Player 6</v>
      </c>
      <c r="E40" s="46"/>
      <c r="F40" s="29" t="str">
        <f aca="false">A7</f>
        <v>Player 2</v>
      </c>
      <c r="G40" s="46"/>
      <c r="H40" s="29" t="str">
        <f aca="false">A22</f>
        <v>Player 17</v>
      </c>
      <c r="I40" s="46"/>
      <c r="J40" s="29" t="str">
        <f aca="false">A7</f>
        <v>Player 2</v>
      </c>
      <c r="K40" s="46"/>
      <c r="L40" s="29" t="str">
        <f aca="false">A10</f>
        <v>Player 5</v>
      </c>
      <c r="M40" s="46"/>
    </row>
    <row r="41" customFormat="false" ht="18" hidden="false" customHeight="true" outlineLevel="0" collapsed="false">
      <c r="A41" s="47" t="s">
        <v>368</v>
      </c>
      <c r="B41" s="47" t="s">
        <v>369</v>
      </c>
      <c r="C41" s="44"/>
      <c r="D41" s="47" t="s">
        <v>369</v>
      </c>
      <c r="E41" s="44"/>
      <c r="F41" s="47" t="s">
        <v>369</v>
      </c>
      <c r="G41" s="44"/>
      <c r="H41" s="47" t="s">
        <v>369</v>
      </c>
      <c r="I41" s="44"/>
      <c r="J41" s="47" t="s">
        <v>369</v>
      </c>
      <c r="K41" s="44"/>
      <c r="L41" s="47" t="s">
        <v>369</v>
      </c>
      <c r="M41" s="44"/>
    </row>
    <row r="42" customFormat="false" ht="21.75" hidden="false" customHeight="true" outlineLevel="0" collapsed="false">
      <c r="A42" s="43" t="s">
        <v>370</v>
      </c>
      <c r="B42" s="29" t="str">
        <f aca="false">A18</f>
        <v>Player 13</v>
      </c>
      <c r="C42" s="44"/>
      <c r="D42" s="29" t="str">
        <f aca="false">A17</f>
        <v>Player 12</v>
      </c>
      <c r="E42" s="44"/>
      <c r="F42" s="29" t="str">
        <f aca="false">A17</f>
        <v>Player 12</v>
      </c>
      <c r="G42" s="44"/>
      <c r="H42" s="29" t="str">
        <f aca="false">A15</f>
        <v>Player 10</v>
      </c>
      <c r="I42" s="44"/>
      <c r="J42" s="29" t="str">
        <f aca="false">A12</f>
        <v>Player 7</v>
      </c>
      <c r="K42" s="44"/>
      <c r="L42" s="29" t="str">
        <f aca="false">A15</f>
        <v>Player 10</v>
      </c>
      <c r="M42" s="44"/>
    </row>
    <row r="43" customFormat="false" ht="21.75" hidden="false" customHeight="true" outlineLevel="0" collapsed="false">
      <c r="A43" s="45"/>
      <c r="B43" s="29" t="str">
        <f aca="false">A16</f>
        <v>Player 11</v>
      </c>
      <c r="C43" s="46"/>
      <c r="D43" s="29" t="str">
        <f aca="false">A19</f>
        <v>Player 14</v>
      </c>
      <c r="E43" s="46"/>
      <c r="F43" s="29" t="str">
        <f aca="false">A6</f>
        <v>Player 1</v>
      </c>
      <c r="G43" s="46"/>
      <c r="H43" s="29" t="str">
        <f aca="false">A10</f>
        <v>Player 5</v>
      </c>
      <c r="I43" s="46"/>
      <c r="J43" s="29" t="str">
        <f aca="false">A16</f>
        <v>Player 11</v>
      </c>
      <c r="K43" s="46"/>
      <c r="L43" s="29" t="str">
        <f aca="false">A12</f>
        <v>Player 7</v>
      </c>
      <c r="M43" s="46"/>
    </row>
    <row r="44" customFormat="false" ht="21.75" hidden="false" customHeight="true" outlineLevel="0" collapsed="false">
      <c r="A44" s="42" t="s">
        <v>411</v>
      </c>
    </row>
    <row r="45" customFormat="false" ht="21.75" hidden="false" customHeight="true" outlineLevel="0" collapsed="false">
      <c r="A45" s="43" t="s">
        <v>367</v>
      </c>
      <c r="B45" s="29" t="str">
        <f aca="false">A14</f>
        <v>Player 9</v>
      </c>
      <c r="C45" s="44"/>
      <c r="D45" s="29" t="str">
        <f aca="false">A15</f>
        <v>Player 10</v>
      </c>
      <c r="E45" s="44"/>
      <c r="F45" s="29" t="str">
        <f aca="false">A15</f>
        <v>Player 10</v>
      </c>
      <c r="G45" s="44"/>
      <c r="H45" s="29" t="str">
        <f aca="false">A11</f>
        <v>Player 6</v>
      </c>
      <c r="I45" s="44"/>
      <c r="J45" s="29" t="str">
        <f aca="false">A22</f>
        <v>Player 17</v>
      </c>
      <c r="K45" s="44"/>
      <c r="L45" s="29" t="str">
        <f aca="false">A22</f>
        <v>Player 17</v>
      </c>
      <c r="M45" s="44"/>
    </row>
    <row r="46" customFormat="false" ht="21.75" hidden="false" customHeight="true" outlineLevel="0" collapsed="false">
      <c r="A46" s="45"/>
      <c r="B46" s="29" t="str">
        <f aca="false">A7</f>
        <v>Player 2</v>
      </c>
      <c r="C46" s="46"/>
      <c r="D46" s="29" t="str">
        <f aca="false">A16</f>
        <v>Player 11</v>
      </c>
      <c r="E46" s="46"/>
      <c r="F46" s="29" t="str">
        <f aca="false">A19</f>
        <v>Player 14</v>
      </c>
      <c r="G46" s="46"/>
      <c r="H46" s="29" t="str">
        <f aca="false">A8</f>
        <v>Player 3</v>
      </c>
      <c r="I46" s="46"/>
      <c r="J46" s="29" t="str">
        <f aca="false">A14</f>
        <v>Player 9</v>
      </c>
      <c r="K46" s="46"/>
      <c r="L46" s="29" t="str">
        <f aca="false">A13</f>
        <v>Player 8</v>
      </c>
      <c r="M46" s="46"/>
    </row>
    <row r="47" customFormat="false" ht="18" hidden="false" customHeight="true" outlineLevel="0" collapsed="false">
      <c r="A47" s="47" t="s">
        <v>368</v>
      </c>
      <c r="B47" s="47" t="s">
        <v>369</v>
      </c>
      <c r="C47" s="44"/>
      <c r="D47" s="47" t="s">
        <v>369</v>
      </c>
      <c r="E47" s="44"/>
      <c r="F47" s="47" t="s">
        <v>369</v>
      </c>
      <c r="G47" s="44"/>
      <c r="H47" s="47" t="s">
        <v>369</v>
      </c>
      <c r="I47" s="44"/>
      <c r="J47" s="47" t="s">
        <v>369</v>
      </c>
      <c r="K47" s="44"/>
      <c r="L47" s="47" t="s">
        <v>369</v>
      </c>
      <c r="M47" s="44"/>
    </row>
    <row r="48" customFormat="false" ht="21.75" hidden="false" customHeight="true" outlineLevel="0" collapsed="false">
      <c r="A48" s="43" t="s">
        <v>370</v>
      </c>
      <c r="B48" s="29" t="str">
        <f aca="false">A11</f>
        <v>Player 6</v>
      </c>
      <c r="C48" s="44"/>
      <c r="D48" s="29" t="str">
        <f aca="false">A22</f>
        <v>Player 17</v>
      </c>
      <c r="E48" s="44"/>
      <c r="F48" s="29" t="str">
        <f aca="false">A21</f>
        <v>Player 16</v>
      </c>
      <c r="G48" s="44"/>
      <c r="H48" s="29" t="str">
        <f aca="false">A13</f>
        <v>Player 8</v>
      </c>
      <c r="I48" s="44"/>
      <c r="J48" s="29" t="str">
        <f aca="false">A20</f>
        <v>Player 15</v>
      </c>
      <c r="K48" s="44"/>
      <c r="L48" s="29" t="str">
        <f aca="false">A8</f>
        <v>Player 3</v>
      </c>
      <c r="M48" s="44"/>
    </row>
    <row r="49" customFormat="false" ht="21.75" hidden="false" customHeight="true" outlineLevel="0" collapsed="false">
      <c r="A49" s="45"/>
      <c r="B49" s="29" t="str">
        <f aca="false">A19</f>
        <v>Player 14</v>
      </c>
      <c r="C49" s="46"/>
      <c r="D49" s="29" t="str">
        <f aca="false">A9</f>
        <v>Player 4</v>
      </c>
      <c r="E49" s="46"/>
      <c r="F49" s="29" t="str">
        <f aca="false">A14</f>
        <v>Player 9</v>
      </c>
      <c r="G49" s="46"/>
      <c r="H49" s="29" t="str">
        <f aca="false">A18</f>
        <v>Player 13</v>
      </c>
      <c r="I49" s="46"/>
      <c r="J49" s="29" t="str">
        <f aca="false">A21</f>
        <v>Player 16</v>
      </c>
      <c r="K49" s="46"/>
      <c r="L49" s="29" t="str">
        <f aca="false">A6</f>
        <v>Player 1</v>
      </c>
      <c r="M49" s="46"/>
    </row>
    <row r="51" customFormat="false" ht="21.75" hidden="false" customHeight="true" outlineLevel="0" collapsed="false">
      <c r="A51" s="48" t="s">
        <v>374</v>
      </c>
      <c r="B51" s="49" t="str">
        <f aca="false">A22</f>
        <v>Player 17</v>
      </c>
      <c r="C51" s="49"/>
      <c r="D51" s="49" t="str">
        <f aca="false">A21</f>
        <v>Player 16</v>
      </c>
      <c r="E51" s="49"/>
      <c r="F51" s="49" t="str">
        <f aca="false">A20</f>
        <v>Player 15</v>
      </c>
      <c r="G51" s="49"/>
      <c r="H51" s="49" t="str">
        <f aca="false">A19</f>
        <v>Player 14</v>
      </c>
      <c r="I51" s="49"/>
      <c r="J51" s="49" t="str">
        <f aca="false">A18</f>
        <v>Player 13</v>
      </c>
      <c r="K51" s="49"/>
      <c r="L51" s="49" t="str">
        <f aca="false">A17</f>
        <v>Player 12</v>
      </c>
      <c r="M51" s="49"/>
    </row>
  </sheetData>
  <mergeCells count="16">
    <mergeCell ref="A1:M1"/>
    <mergeCell ref="A2:M2"/>
    <mergeCell ref="A4:G4"/>
    <mergeCell ref="A24:M24"/>
    <mergeCell ref="B25:C25"/>
    <mergeCell ref="D25:E25"/>
    <mergeCell ref="F25:G25"/>
    <mergeCell ref="H25:I25"/>
    <mergeCell ref="J25:K25"/>
    <mergeCell ref="L25:M25"/>
    <mergeCell ref="B51:C51"/>
    <mergeCell ref="D51:E51"/>
    <mergeCell ref="F51:G51"/>
    <mergeCell ref="H51:I51"/>
    <mergeCell ref="J51:K51"/>
    <mergeCell ref="L51:M5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5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4" topLeftCell="A2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12"/>
    <col collapsed="false" customWidth="true" hidden="false" outlineLevel="0" max="3" min="3" style="0" width="7"/>
    <col collapsed="false" customWidth="true" hidden="false" outlineLevel="0" max="4" min="4" style="0" width="12"/>
    <col collapsed="false" customWidth="true" hidden="false" outlineLevel="0" max="5" min="5" style="0" width="7"/>
    <col collapsed="false" customWidth="true" hidden="false" outlineLevel="0" max="6" min="6" style="0" width="12"/>
    <col collapsed="false" customWidth="true" hidden="false" outlineLevel="0" max="7" min="7" style="0" width="7"/>
    <col collapsed="false" customWidth="true" hidden="false" outlineLevel="0" max="8" min="8" style="0" width="12"/>
    <col collapsed="false" customWidth="true" hidden="false" outlineLevel="0" max="9" min="9" style="0" width="7"/>
    <col collapsed="false" customWidth="true" hidden="false" outlineLevel="0" max="10" min="10" style="0" width="12"/>
    <col collapsed="false" customWidth="true" hidden="false" outlineLevel="0" max="11" min="11" style="0" width="7"/>
    <col collapsed="false" customWidth="true" hidden="false" outlineLevel="0" max="12" min="12" style="0" width="12"/>
    <col collapsed="false" customWidth="true" hidden="false" outlineLevel="0" max="13" min="13" style="0" width="7"/>
  </cols>
  <sheetData>
    <row r="1" customFormat="false" ht="22.05" hidden="false" customHeight="false" outlineLevel="0" collapsed="false">
      <c r="A1" s="36" t="s">
        <v>415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</row>
    <row r="2" customFormat="false" ht="15" hidden="false" customHeight="false" outlineLevel="0" collapsed="false">
      <c r="A2" s="37" t="s">
        <v>416</v>
      </c>
      <c r="B2" s="37"/>
      <c r="C2" s="37"/>
      <c r="D2" s="37"/>
      <c r="E2" s="37"/>
      <c r="F2" s="37"/>
      <c r="G2" s="37"/>
      <c r="H2" s="37"/>
      <c r="I2" s="37"/>
      <c r="J2" s="37"/>
      <c r="K2" s="37"/>
      <c r="L2" s="37"/>
      <c r="M2" s="37"/>
    </row>
    <row r="4" customFormat="false" ht="15" hidden="false" customHeight="true" outlineLevel="0" collapsed="false">
      <c r="A4" s="18" t="s">
        <v>346</v>
      </c>
      <c r="B4" s="18"/>
      <c r="C4" s="18"/>
      <c r="D4" s="18"/>
      <c r="E4" s="18"/>
      <c r="F4" s="18"/>
      <c r="G4" s="18"/>
    </row>
    <row r="5" customFormat="false" ht="21.75" hidden="false" customHeight="true" outlineLevel="0" collapsed="false">
      <c r="A5" s="38" t="s">
        <v>347</v>
      </c>
      <c r="B5" s="38" t="s">
        <v>348</v>
      </c>
      <c r="C5" s="38" t="s">
        <v>349</v>
      </c>
      <c r="D5" s="38" t="s">
        <v>350</v>
      </c>
      <c r="E5" s="38" t="s">
        <v>351</v>
      </c>
      <c r="F5" s="38" t="s">
        <v>352</v>
      </c>
      <c r="G5" s="38" t="s">
        <v>353</v>
      </c>
    </row>
    <row r="6" customFormat="false" ht="15" hidden="false" customHeight="false" outlineLevel="0" collapsed="false">
      <c r="A6" s="39" t="s">
        <v>354</v>
      </c>
      <c r="B6" s="40" t="n">
        <f aca="false">IF(G29&gt;G32,1,0)+IF(M32&gt;M29,1,0)+IF(K38&gt;K35,1,0)+IF(I41&gt;I44,1,0)+IF(E47&gt;E50,1,0)</f>
        <v>0</v>
      </c>
      <c r="C6" s="40" t="n">
        <f aca="false">N(G29)+N(M32)+N(K38)+N(I41)+N(E47)</f>
        <v>0</v>
      </c>
      <c r="D6" s="40" t="n">
        <f aca="false">N(G32)+N(M29)+N(K35)+N(I44)+N(E50)</f>
        <v>0</v>
      </c>
      <c r="E6" s="40" t="n">
        <f aca="false">C6-D6</f>
        <v>0</v>
      </c>
      <c r="F6" s="40" t="n">
        <f aca="false">RANK(B6,$B$6:$B$23)+SUMPRODUCT(($B$6:$B$23=B6)*($E$6:$E$23&gt;E6))</f>
        <v>1</v>
      </c>
      <c r="G6" s="40" t="n">
        <f aca="false">IF(N(G29)+N(G32)&gt;0,1,0)+IF(N(M32)+N(M29)&gt;0,1,0)+IF(N(K38)+N(K35)&gt;0,1,0)+IF(N(I41)+N(I44)&gt;0,1,0)+IF(N(E47)+N(E50)&gt;0,1,0)</f>
        <v>0</v>
      </c>
    </row>
    <row r="7" customFormat="false" ht="15" hidden="false" customHeight="false" outlineLevel="0" collapsed="false">
      <c r="A7" s="39" t="s">
        <v>355</v>
      </c>
      <c r="B7" s="40" t="n">
        <f aca="false">IF(G32&gt;G29,1,0)+IF(K32&gt;K29,1,0)+IF(I44&gt;I41,1,0)+IF(M41&gt;M44,1,0)+IF(C50&gt;C47,1,0)</f>
        <v>0</v>
      </c>
      <c r="C7" s="40" t="n">
        <f aca="false">N(G32)+N(K32)+N(I44)+N(M41)+N(C50)</f>
        <v>0</v>
      </c>
      <c r="D7" s="40" t="n">
        <f aca="false">N(G29)+N(K29)+N(I41)+N(M44)+N(C47)</f>
        <v>0</v>
      </c>
      <c r="E7" s="40" t="n">
        <f aca="false">C7-D7</f>
        <v>0</v>
      </c>
      <c r="F7" s="40" t="n">
        <f aca="false">RANK(B7,$B$6:$B$23)+SUMPRODUCT(($B$6:$B$23=B7)*($E$6:$E$23&gt;E7))</f>
        <v>1</v>
      </c>
      <c r="G7" s="40" t="n">
        <f aca="false">IF(N(G32)+N(G29)&gt;0,1,0)+IF(N(K32)+N(K29)&gt;0,1,0)+IF(N(I44)+N(I41)&gt;0,1,0)+IF(N(M41)+N(M44)&gt;0,1,0)+IF(N(C50)+N(C47)&gt;0,1,0)</f>
        <v>0</v>
      </c>
    </row>
    <row r="8" customFormat="false" ht="15" hidden="false" customHeight="false" outlineLevel="0" collapsed="false">
      <c r="A8" s="39" t="s">
        <v>356</v>
      </c>
      <c r="B8" s="40" t="n">
        <f aca="false">IF(E32&gt;E29,1,0)+IF(C35&gt;C38,1,0)+IF(I44&gt;I41,1,0)+IF(M44&gt;M41,1,0)+IF(K47&gt;K50,1,0)</f>
        <v>0</v>
      </c>
      <c r="C8" s="40" t="n">
        <f aca="false">N(E32)+N(C35)+N(I44)+N(M44)+N(K47)</f>
        <v>0</v>
      </c>
      <c r="D8" s="40" t="n">
        <f aca="false">N(E29)+N(C38)+N(I41)+N(M41)+N(K50)</f>
        <v>0</v>
      </c>
      <c r="E8" s="40" t="n">
        <f aca="false">C8-D8</f>
        <v>0</v>
      </c>
      <c r="F8" s="40" t="n">
        <f aca="false">RANK(B8,$B$6:$B$23)+SUMPRODUCT(($B$6:$B$23=B8)*($E$6:$E$23&gt;E8))</f>
        <v>1</v>
      </c>
      <c r="G8" s="40" t="n">
        <f aca="false">IF(N(E32)+N(E29)&gt;0,1,0)+IF(N(C35)+N(C38)&gt;0,1,0)+IF(N(I44)+N(I41)&gt;0,1,0)+IF(N(M44)+N(M41)&gt;0,1,0)+IF(N(K47)+N(K50)&gt;0,1,0)</f>
        <v>0</v>
      </c>
    </row>
    <row r="9" customFormat="false" ht="15" hidden="false" customHeight="false" outlineLevel="0" collapsed="false">
      <c r="A9" s="39" t="s">
        <v>357</v>
      </c>
      <c r="B9" s="40" t="n">
        <f aca="false">IF(C29&gt;C32,1,0)+IF(K32&gt;K29,1,0)+IF(E35&gt;E38,1,0)+IF(G35&gt;G38,1,0)+IF(M50&gt;M47,1,0)</f>
        <v>0</v>
      </c>
      <c r="C9" s="40" t="n">
        <f aca="false">N(C29)+N(K32)+N(E35)+N(G35)+N(M50)</f>
        <v>0</v>
      </c>
      <c r="D9" s="40" t="n">
        <f aca="false">N(C32)+N(K29)+N(E38)+N(G38)+N(M47)</f>
        <v>0</v>
      </c>
      <c r="E9" s="40" t="n">
        <f aca="false">C9-D9</f>
        <v>0</v>
      </c>
      <c r="F9" s="40" t="n">
        <f aca="false">RANK(B9,$B$6:$B$23)+SUMPRODUCT(($B$6:$B$23=B9)*($E$6:$E$23&gt;E9))</f>
        <v>1</v>
      </c>
      <c r="G9" s="40" t="n">
        <f aca="false">IF(N(C29)+N(C32)&gt;0,1,0)+IF(N(K32)+N(K29)&gt;0,1,0)+IF(N(E35)+N(E38)&gt;0,1,0)+IF(N(G35)+N(G38)&gt;0,1,0)+IF(N(M50)+N(M47)&gt;0,1,0)</f>
        <v>0</v>
      </c>
    </row>
    <row r="10" customFormat="false" ht="15" hidden="false" customHeight="false" outlineLevel="0" collapsed="false">
      <c r="A10" s="39" t="s">
        <v>373</v>
      </c>
      <c r="B10" s="40" t="n">
        <f aca="false">IF(E38&gt;E35,1,0)+IF(I38&gt;I35,1,0)+IF(C41&gt;C44,1,0)+IF(G41&gt;G44,1,0)+IF(M44&gt;M41,1,0)</f>
        <v>0</v>
      </c>
      <c r="C10" s="40" t="n">
        <f aca="false">N(E38)+N(I38)+N(C41)+N(G41)+N(M44)</f>
        <v>0</v>
      </c>
      <c r="D10" s="40" t="n">
        <f aca="false">N(E35)+N(I35)+N(C44)+N(G44)+N(M41)</f>
        <v>0</v>
      </c>
      <c r="E10" s="40" t="n">
        <f aca="false">C10-D10</f>
        <v>0</v>
      </c>
      <c r="F10" s="40" t="n">
        <f aca="false">RANK(B10,$B$6:$B$23)+SUMPRODUCT(($B$6:$B$23=B10)*($E$6:$E$23&gt;E10))</f>
        <v>1</v>
      </c>
      <c r="G10" s="40" t="n">
        <f aca="false">IF(N(E38)+N(E35)&gt;0,1,0)+IF(N(I38)+N(I35)&gt;0,1,0)+IF(N(C41)+N(C44)&gt;0,1,0)+IF(N(G41)+N(G44)&gt;0,1,0)+IF(N(M44)+N(M41)&gt;0,1,0)</f>
        <v>0</v>
      </c>
    </row>
    <row r="11" customFormat="false" ht="15" hidden="false" customHeight="false" outlineLevel="0" collapsed="false">
      <c r="A11" s="39" t="s">
        <v>377</v>
      </c>
      <c r="B11" s="40" t="n">
        <f aca="false">IF(E44&gt;E41,1,0)+IF(K41&gt;K44,1,0)+IF(C47&gt;C50,1,0)+IF(G47&gt;G50,1,0)+IF(I47&gt;I50,1,0)</f>
        <v>0</v>
      </c>
      <c r="C11" s="40" t="n">
        <f aca="false">N(E44)+N(K41)+N(C47)+N(G47)+N(I47)</f>
        <v>0</v>
      </c>
      <c r="D11" s="40" t="n">
        <f aca="false">N(E41)+N(K44)+N(C50)+N(G50)+N(I50)</f>
        <v>0</v>
      </c>
      <c r="E11" s="40" t="n">
        <f aca="false">C11-D11</f>
        <v>0</v>
      </c>
      <c r="F11" s="40" t="n">
        <f aca="false">RANK(B11,$B$6:$B$23)+SUMPRODUCT(($B$6:$B$23=B11)*($E$6:$E$23&gt;E11))</f>
        <v>1</v>
      </c>
      <c r="G11" s="40" t="n">
        <f aca="false">IF(N(E44)+N(E41)&gt;0,1,0)+IF(N(K41)+N(K44)&gt;0,1,0)+IF(N(C47)+N(C50)&gt;0,1,0)+IF(N(G47)+N(G50)&gt;0,1,0)+IF(N(I47)+N(I50)&gt;0,1,0)</f>
        <v>0</v>
      </c>
    </row>
    <row r="12" customFormat="false" ht="15" hidden="false" customHeight="false" outlineLevel="0" collapsed="false">
      <c r="A12" s="39" t="s">
        <v>380</v>
      </c>
      <c r="B12" s="40" t="n">
        <f aca="false">IF(E32&gt;E29,1,0)+IF(I29&gt;I32,1,0)+IF(C38&gt;C35,1,0)+IF(G38&gt;G35,1,0)+IF(K44&gt;K41,1,0)+IF(M41&gt;M44,1,0)</f>
        <v>0</v>
      </c>
      <c r="C12" s="40" t="n">
        <f aca="false">N(E32)+N(I29)+N(C38)+N(G38)+N(K44)+N(M41)</f>
        <v>0</v>
      </c>
      <c r="D12" s="40" t="n">
        <f aca="false">N(E29)+N(I32)+N(C35)+N(G35)+N(K41)+N(M44)</f>
        <v>0</v>
      </c>
      <c r="E12" s="40" t="n">
        <f aca="false">C12-D12</f>
        <v>0</v>
      </c>
      <c r="F12" s="40" t="n">
        <f aca="false">RANK(B12,$B$6:$B$23)+SUMPRODUCT(($B$6:$B$23=B12)*($E$6:$E$23&gt;E12))</f>
        <v>1</v>
      </c>
      <c r="G12" s="40" t="n">
        <f aca="false">IF(N(E32)+N(E29)&gt;0,1,0)+IF(N(I29)+N(I32)&gt;0,1,0)+IF(N(C38)+N(C35)&gt;0,1,0)+IF(N(G38)+N(G35)&gt;0,1,0)+IF(N(K44)+N(K41)&gt;0,1,0)+IF(N(M41)+N(M44)&gt;0,1,0)</f>
        <v>0</v>
      </c>
    </row>
    <row r="13" customFormat="false" ht="15" hidden="false" customHeight="false" outlineLevel="0" collapsed="false">
      <c r="A13" s="39" t="s">
        <v>384</v>
      </c>
      <c r="B13" s="40" t="n">
        <f aca="false">IF(G29&gt;G32,1,0)+IF(I29&gt;I32,1,0)+IF(K29&gt;K32,1,0)+IF(M38&gt;M35,1,0)+IF(C41&gt;C44,1,0)+IF(E41&gt;E44,1,0)</f>
        <v>0</v>
      </c>
      <c r="C13" s="40" t="n">
        <f aca="false">N(G29)+N(I29)+N(K29)+N(M38)+N(C41)+N(E41)</f>
        <v>0</v>
      </c>
      <c r="D13" s="40" t="n">
        <f aca="false">N(G32)+N(I32)+N(K32)+N(M35)+N(C44)+N(E44)</f>
        <v>0</v>
      </c>
      <c r="E13" s="40" t="n">
        <f aca="false">C13-D13</f>
        <v>0</v>
      </c>
      <c r="F13" s="40" t="n">
        <f aca="false">RANK(B13,$B$6:$B$23)+SUMPRODUCT(($B$6:$B$23=B13)*($E$6:$E$23&gt;E13))</f>
        <v>1</v>
      </c>
      <c r="G13" s="40" t="n">
        <f aca="false">IF(N(G29)+N(G32)&gt;0,1,0)+IF(N(I29)+N(I32)&gt;0,1,0)+IF(N(K29)+N(K32)&gt;0,1,0)+IF(N(M38)+N(M35)&gt;0,1,0)+IF(N(C41)+N(C44)&gt;0,1,0)+IF(N(E41)+N(E44)&gt;0,1,0)</f>
        <v>0</v>
      </c>
    </row>
    <row r="14" customFormat="false" ht="15" hidden="false" customHeight="false" outlineLevel="0" collapsed="false">
      <c r="A14" s="39" t="s">
        <v>388</v>
      </c>
      <c r="B14" s="40" t="n">
        <f aca="false">IF(M29&gt;M32,1,0)+IF(C35&gt;C38,1,0)+IF(I38&gt;I35,1,0)+IF(K41&gt;K44,1,0)+IF(E47&gt;E50,1,0)+IF(G50&gt;G47,1,0)</f>
        <v>0</v>
      </c>
      <c r="C14" s="40" t="n">
        <f aca="false">N(M29)+N(C35)+N(I38)+N(K41)+N(E47)+N(G50)</f>
        <v>0</v>
      </c>
      <c r="D14" s="40" t="n">
        <f aca="false">N(M32)+N(C38)+N(I35)+N(K44)+N(E50)+N(G47)</f>
        <v>0</v>
      </c>
      <c r="E14" s="40" t="n">
        <f aca="false">C14-D14</f>
        <v>0</v>
      </c>
      <c r="F14" s="40" t="n">
        <f aca="false">RANK(B14,$B$6:$B$23)+SUMPRODUCT(($B$6:$B$23=B14)*($E$6:$E$23&gt;E14))</f>
        <v>1</v>
      </c>
      <c r="G14" s="40" t="n">
        <f aca="false">IF(N(M29)+N(M32)&gt;0,1,0)+IF(N(C35)+N(C38)&gt;0,1,0)+IF(N(I38)+N(I35)&gt;0,1,0)+IF(N(K41)+N(K44)&gt;0,1,0)+IF(N(E47)+N(E50)&gt;0,1,0)+IF(N(G50)+N(G47)&gt;0,1,0)</f>
        <v>0</v>
      </c>
    </row>
    <row r="15" customFormat="false" ht="15" hidden="false" customHeight="false" outlineLevel="0" collapsed="false">
      <c r="A15" s="39" t="s">
        <v>391</v>
      </c>
      <c r="B15" s="40" t="n">
        <f aca="false">IF(I32&gt;I29,1,0)+IF(M32&gt;M29,1,0)+IF(G35&gt;G38,1,0)+IF(E44&gt;E41,1,0)+IF(C50&gt;C47,1,0)+IF(K50&gt;K47,1,0)</f>
        <v>0</v>
      </c>
      <c r="C15" s="40" t="n">
        <f aca="false">N(I32)+N(M32)+N(G35)+N(E44)+N(C50)+N(K50)</f>
        <v>0</v>
      </c>
      <c r="D15" s="40" t="n">
        <f aca="false">N(I29)+N(M29)+N(G38)+N(E41)+N(C47)+N(K47)</f>
        <v>0</v>
      </c>
      <c r="E15" s="40" t="n">
        <f aca="false">C15-D15</f>
        <v>0</v>
      </c>
      <c r="F15" s="40" t="n">
        <f aca="false">RANK(B15,$B$6:$B$23)+SUMPRODUCT(($B$6:$B$23=B15)*($E$6:$E$23&gt;E15))</f>
        <v>1</v>
      </c>
      <c r="G15" s="40" t="n">
        <f aca="false">IF(N(I32)+N(I29)&gt;0,1,0)+IF(N(M32)+N(M29)&gt;0,1,0)+IF(N(G35)+N(G38)&gt;0,1,0)+IF(N(E44)+N(E41)&gt;0,1,0)+IF(N(C50)+N(C47)&gt;0,1,0)+IF(N(K50)+N(K47)&gt;0,1,0)</f>
        <v>0</v>
      </c>
    </row>
    <row r="16" customFormat="false" ht="15" hidden="false" customHeight="false" outlineLevel="0" collapsed="false">
      <c r="A16" s="39" t="s">
        <v>394</v>
      </c>
      <c r="B16" s="40" t="n">
        <f aca="false">IF(E38&gt;E35,1,0)+IF(K38&gt;K35,1,0)+IF(M35&gt;M38,1,0)+IF(G44&gt;G41,1,0)+IF(C47&gt;C50,1,0)+IF(I50&gt;I47,1,0)</f>
        <v>0</v>
      </c>
      <c r="C16" s="40" t="n">
        <f aca="false">N(E38)+N(K38)+N(M35)+N(G44)+N(C47)+N(I50)</f>
        <v>0</v>
      </c>
      <c r="D16" s="40" t="n">
        <f aca="false">N(E35)+N(K35)+N(M38)+N(G41)+N(C50)+N(I47)</f>
        <v>0</v>
      </c>
      <c r="E16" s="40" t="n">
        <f aca="false">C16-D16</f>
        <v>0</v>
      </c>
      <c r="F16" s="40" t="n">
        <f aca="false">RANK(B16,$B$6:$B$23)+SUMPRODUCT(($B$6:$B$23=B16)*($E$6:$E$23&gt;E16))</f>
        <v>1</v>
      </c>
      <c r="G16" s="40" t="n">
        <f aca="false">IF(N(E38)+N(E35)&gt;0,1,0)+IF(N(K38)+N(K35)&gt;0,1,0)+IF(N(M35)+N(M38)&gt;0,1,0)+IF(N(G44)+N(G41)&gt;0,1,0)+IF(N(C47)+N(C50)&gt;0,1,0)+IF(N(I50)+N(I47)&gt;0,1,0)</f>
        <v>0</v>
      </c>
    </row>
    <row r="17" customFormat="false" ht="15" hidden="false" customHeight="false" outlineLevel="0" collapsed="false">
      <c r="A17" s="39" t="s">
        <v>397</v>
      </c>
      <c r="B17" s="40" t="n">
        <f aca="false">IF(E29&gt;E32,1,0)+IF(K29&gt;K32,1,0)+IF(M29&gt;M32,1,0)+IF(C44&gt;C41,1,0)+IF(G47&gt;G50,1,0)+IF(I50&gt;I47,1,0)</f>
        <v>0</v>
      </c>
      <c r="C17" s="40" t="n">
        <f aca="false">N(E29)+N(K29)+N(M29)+N(C44)+N(G47)+N(I50)</f>
        <v>0</v>
      </c>
      <c r="D17" s="40" t="n">
        <f aca="false">N(E32)+N(K32)+N(M32)+N(C41)+N(G50)+N(I47)</f>
        <v>0</v>
      </c>
      <c r="E17" s="40" t="n">
        <f aca="false">C17-D17</f>
        <v>0</v>
      </c>
      <c r="F17" s="40" t="n">
        <f aca="false">RANK(B17,$B$6:$B$23)+SUMPRODUCT(($B$6:$B$23=B17)*($E$6:$E$23&gt;E17))</f>
        <v>1</v>
      </c>
      <c r="G17" s="40" t="n">
        <f aca="false">IF(N(E29)+N(E32)&gt;0,1,0)+IF(N(K29)+N(K32)&gt;0,1,0)+IF(N(M29)+N(M32)&gt;0,1,0)+IF(N(C44)+N(C41)&gt;0,1,0)+IF(N(G47)+N(G50)&gt;0,1,0)+IF(N(I50)+N(I47)&gt;0,1,0)</f>
        <v>0</v>
      </c>
    </row>
    <row r="18" customFormat="false" ht="15" hidden="false" customHeight="false" outlineLevel="0" collapsed="false">
      <c r="A18" s="39" t="s">
        <v>401</v>
      </c>
      <c r="B18" s="40" t="n">
        <f aca="false">IF(C29&gt;C32,1,0)+IF(G38&gt;G35,1,0)+IF(E50&gt;E47,1,0)+IF(I47&gt;I50,1,0)+IF(K47&gt;K50,1,0)</f>
        <v>0</v>
      </c>
      <c r="C18" s="40" t="n">
        <f aca="false">N(C29)+N(G38)+N(E50)+N(I47)+N(K47)</f>
        <v>0</v>
      </c>
      <c r="D18" s="40" t="n">
        <f aca="false">N(C32)+N(G35)+N(E47)+N(I50)+N(K50)</f>
        <v>0</v>
      </c>
      <c r="E18" s="40" t="n">
        <f aca="false">C18-D18</f>
        <v>0</v>
      </c>
      <c r="F18" s="40" t="n">
        <f aca="false">RANK(B18,$B$6:$B$23)+SUMPRODUCT(($B$6:$B$23=B18)*($E$6:$E$23&gt;E18))</f>
        <v>1</v>
      </c>
      <c r="G18" s="40" t="n">
        <f aca="false">IF(N(C29)+N(C32)&gt;0,1,0)+IF(N(G38)+N(G35)&gt;0,1,0)+IF(N(E50)+N(E47)&gt;0,1,0)+IF(N(I47)+N(I50)&gt;0,1,0)+IF(N(K47)+N(K50)&gt;0,1,0)</f>
        <v>0</v>
      </c>
    </row>
    <row r="19" customFormat="false" ht="15" hidden="false" customHeight="false" outlineLevel="0" collapsed="false">
      <c r="A19" s="39" t="s">
        <v>404</v>
      </c>
      <c r="B19" s="40" t="n">
        <f aca="false">IF(C32&gt;C29,1,0)+IF(G32&gt;G29,1,0)+IF(I32&gt;I29,1,0)+IF(E35&gt;E38,1,0)+IF(M38&gt;M35,1,0)</f>
        <v>0</v>
      </c>
      <c r="C19" s="40" t="n">
        <f aca="false">N(C32)+N(G32)+N(I32)+N(E35)+N(M38)</f>
        <v>0</v>
      </c>
      <c r="D19" s="40" t="n">
        <f aca="false">N(C29)+N(G29)+N(I29)+N(E38)+N(M35)</f>
        <v>0</v>
      </c>
      <c r="E19" s="40" t="n">
        <f aca="false">C19-D19</f>
        <v>0</v>
      </c>
      <c r="F19" s="40" t="n">
        <f aca="false">RANK(B19,$B$6:$B$23)+SUMPRODUCT(($B$6:$B$23=B19)*($E$6:$E$23&gt;E19))</f>
        <v>1</v>
      </c>
      <c r="G19" s="40" t="n">
        <f aca="false">IF(N(C32)+N(C29)&gt;0,1,0)+IF(N(G32)+N(G29)&gt;0,1,0)+IF(N(I32)+N(I29)&gt;0,1,0)+IF(N(E35)+N(E38)&gt;0,1,0)+IF(N(M38)+N(M35)&gt;0,1,0)</f>
        <v>0</v>
      </c>
    </row>
    <row r="20" customFormat="false" ht="15" hidden="false" customHeight="false" outlineLevel="0" collapsed="false">
      <c r="A20" s="39" t="s">
        <v>407</v>
      </c>
      <c r="B20" s="40" t="n">
        <f aca="false">IF(K35&gt;K38,1,0)+IF(C44&gt;C41,1,0)+IF(E41&gt;E44,1,0)+IF(G41&gt;G44,1,0)+IF(M50&gt;M47,1,0)</f>
        <v>0</v>
      </c>
      <c r="C20" s="40" t="n">
        <f aca="false">N(K35)+N(C44)+N(E41)+N(G41)+N(M50)</f>
        <v>0</v>
      </c>
      <c r="D20" s="40" t="n">
        <f aca="false">N(K38)+N(C41)+N(E44)+N(G44)+N(M47)</f>
        <v>0</v>
      </c>
      <c r="E20" s="40" t="n">
        <f aca="false">C20-D20</f>
        <v>0</v>
      </c>
      <c r="F20" s="40" t="n">
        <f aca="false">RANK(B20,$B$6:$B$23)+SUMPRODUCT(($B$6:$B$23=B20)*($E$6:$E$23&gt;E20))</f>
        <v>1</v>
      </c>
      <c r="G20" s="40" t="n">
        <f aca="false">IF(N(K35)+N(K38)&gt;0,1,0)+IF(N(C44)+N(C41)&gt;0,1,0)+IF(N(E41)+N(E44)&gt;0,1,0)+IF(N(G41)+N(G44)&gt;0,1,0)+IF(N(M50)+N(M47)&gt;0,1,0)</f>
        <v>0</v>
      </c>
    </row>
    <row r="21" customFormat="false" ht="15" hidden="false" customHeight="false" outlineLevel="0" collapsed="false">
      <c r="A21" s="39" t="s">
        <v>410</v>
      </c>
      <c r="B21" s="40" t="n">
        <f aca="false">IF(C32&gt;C29,1,0)+IF(I35&gt;I38,1,0)+IF(M35&gt;M38,1,0)+IF(E50&gt;E47,1,0)+IF(K50&gt;K47,1,0)</f>
        <v>0</v>
      </c>
      <c r="C21" s="40" t="n">
        <f aca="false">N(C32)+N(I35)+N(M35)+N(E50)+N(K50)</f>
        <v>0</v>
      </c>
      <c r="D21" s="40" t="n">
        <f aca="false">N(C29)+N(I38)+N(M38)+N(E47)+N(K47)</f>
        <v>0</v>
      </c>
      <c r="E21" s="40" t="n">
        <f aca="false">C21-D21</f>
        <v>0</v>
      </c>
      <c r="F21" s="40" t="n">
        <f aca="false">RANK(B21,$B$6:$B$23)+SUMPRODUCT(($B$6:$B$23=B21)*($E$6:$E$23&gt;E21))</f>
        <v>1</v>
      </c>
      <c r="G21" s="40" t="n">
        <f aca="false">IF(N(C32)+N(C29)&gt;0,1,0)+IF(N(I35)+N(I38)&gt;0,1,0)+IF(N(M35)+N(M38)&gt;0,1,0)+IF(N(E50)+N(E47)&gt;0,1,0)+IF(N(K50)+N(K47)&gt;0,1,0)</f>
        <v>0</v>
      </c>
    </row>
    <row r="22" customFormat="false" ht="15" hidden="false" customHeight="false" outlineLevel="0" collapsed="false">
      <c r="A22" s="39" t="s">
        <v>414</v>
      </c>
      <c r="B22" s="40" t="n">
        <f aca="false">IF(C38&gt;C35,1,0)+IF(K35&gt;K38,1,0)+IF(G44&gt;G41,1,0)+IF(I41&gt;I44,1,0)+IF(M47&gt;M50,1,0)</f>
        <v>0</v>
      </c>
      <c r="C22" s="40" t="n">
        <f aca="false">N(C38)+N(K35)+N(G44)+N(I41)+N(M47)</f>
        <v>0</v>
      </c>
      <c r="D22" s="40" t="n">
        <f aca="false">N(C35)+N(K38)+N(G41)+N(I44)+N(M50)</f>
        <v>0</v>
      </c>
      <c r="E22" s="40" t="n">
        <f aca="false">C22-D22</f>
        <v>0</v>
      </c>
      <c r="F22" s="40" t="n">
        <f aca="false">RANK(B22,$B$6:$B$23)+SUMPRODUCT(($B$6:$B$23=B22)*($E$6:$E$23&gt;E22))</f>
        <v>1</v>
      </c>
      <c r="G22" s="40" t="n">
        <f aca="false">IF(N(C38)+N(C35)&gt;0,1,0)+IF(N(K35)+N(K38)&gt;0,1,0)+IF(N(G44)+N(G41)&gt;0,1,0)+IF(N(I41)+N(I44)&gt;0,1,0)+IF(N(M47)+N(M50)&gt;0,1,0)</f>
        <v>0</v>
      </c>
    </row>
    <row r="23" customFormat="false" ht="15" hidden="false" customHeight="false" outlineLevel="0" collapsed="false">
      <c r="A23" s="39" t="s">
        <v>417</v>
      </c>
      <c r="B23" s="40" t="n">
        <f aca="false">IF(E29&gt;E32,1,0)+IF(I35&gt;I38,1,0)+IF(K44&gt;K41,1,0)+IF(G50&gt;G47,1,0)+IF(M47&gt;M50,1,0)</f>
        <v>0</v>
      </c>
      <c r="C23" s="40" t="n">
        <f aca="false">N(E29)+N(I35)+N(K44)+N(G50)+N(M47)</f>
        <v>0</v>
      </c>
      <c r="D23" s="40" t="n">
        <f aca="false">N(E32)+N(I38)+N(K41)+N(G47)+N(M50)</f>
        <v>0</v>
      </c>
      <c r="E23" s="40" t="n">
        <f aca="false">C23-D23</f>
        <v>0</v>
      </c>
      <c r="F23" s="40" t="n">
        <f aca="false">RANK(B23,$B$6:$B$23)+SUMPRODUCT(($B$6:$B$23=B23)*($E$6:$E$23&gt;E23))</f>
        <v>1</v>
      </c>
      <c r="G23" s="40" t="n">
        <f aca="false">IF(N(E29)+N(E32)&gt;0,1,0)+IF(N(I35)+N(I38)&gt;0,1,0)+IF(N(K44)+N(K41)&gt;0,1,0)+IF(N(G50)+N(G47)&gt;0,1,0)+IF(N(M47)+N(M50)&gt;0,1,0)</f>
        <v>0</v>
      </c>
    </row>
    <row r="25" customFormat="false" ht="15" hidden="false" customHeight="true" outlineLevel="0" collapsed="false">
      <c r="A25" s="18" t="s">
        <v>358</v>
      </c>
      <c r="B25" s="18"/>
      <c r="C25" s="18"/>
      <c r="D25" s="18"/>
      <c r="E25" s="18"/>
      <c r="F25" s="18"/>
      <c r="G25" s="18"/>
      <c r="H25" s="18"/>
      <c r="I25" s="18"/>
      <c r="J25" s="18"/>
      <c r="K25" s="18"/>
      <c r="L25" s="18"/>
      <c r="M25" s="18"/>
    </row>
    <row r="26" customFormat="false" ht="21.75" hidden="false" customHeight="true" outlineLevel="0" collapsed="false">
      <c r="A26" s="38" t="s">
        <v>359</v>
      </c>
      <c r="B26" s="41" t="s">
        <v>360</v>
      </c>
      <c r="C26" s="41"/>
      <c r="D26" s="41" t="s">
        <v>361</v>
      </c>
      <c r="E26" s="41"/>
      <c r="F26" s="41" t="s">
        <v>362</v>
      </c>
      <c r="G26" s="41"/>
      <c r="H26" s="41" t="s">
        <v>363</v>
      </c>
      <c r="I26" s="41"/>
      <c r="J26" s="41" t="s">
        <v>364</v>
      </c>
      <c r="K26" s="41"/>
      <c r="L26" s="41" t="s">
        <v>365</v>
      </c>
      <c r="M26" s="41"/>
    </row>
    <row r="27" customFormat="false" ht="21.75" hidden="false" customHeight="true" outlineLevel="0" collapsed="false">
      <c r="A27" s="42" t="s">
        <v>366</v>
      </c>
    </row>
    <row r="28" customFormat="false" ht="21.75" hidden="false" customHeight="true" outlineLevel="0" collapsed="false">
      <c r="A28" s="43" t="s">
        <v>367</v>
      </c>
      <c r="B28" s="29" t="str">
        <f aca="false">A9</f>
        <v>Player 4</v>
      </c>
      <c r="C28" s="44"/>
      <c r="D28" s="29" t="str">
        <f aca="false">A23</f>
        <v>Player 18</v>
      </c>
      <c r="E28" s="44"/>
      <c r="F28" s="29" t="str">
        <f aca="false">A13</f>
        <v>Player 8</v>
      </c>
      <c r="G28" s="44"/>
      <c r="H28" s="29" t="str">
        <f aca="false">A12</f>
        <v>Player 7</v>
      </c>
      <c r="I28" s="44"/>
      <c r="J28" s="29" t="str">
        <f aca="false">A17</f>
        <v>Player 12</v>
      </c>
      <c r="K28" s="44"/>
      <c r="L28" s="29" t="str">
        <f aca="false">A17</f>
        <v>Player 12</v>
      </c>
      <c r="M28" s="44"/>
    </row>
    <row r="29" customFormat="false" ht="21.75" hidden="false" customHeight="true" outlineLevel="0" collapsed="false">
      <c r="A29" s="45"/>
      <c r="B29" s="29" t="str">
        <f aca="false">A18</f>
        <v>Player 13</v>
      </c>
      <c r="C29" s="46"/>
      <c r="D29" s="29" t="str">
        <f aca="false">A17</f>
        <v>Player 12</v>
      </c>
      <c r="E29" s="46"/>
      <c r="F29" s="29" t="str">
        <f aca="false">A6</f>
        <v>Player 1</v>
      </c>
      <c r="G29" s="46"/>
      <c r="H29" s="29" t="str">
        <f aca="false">A13</f>
        <v>Player 8</v>
      </c>
      <c r="I29" s="46"/>
      <c r="J29" s="29" t="str">
        <f aca="false">A13</f>
        <v>Player 8</v>
      </c>
      <c r="K29" s="46"/>
      <c r="L29" s="29" t="str">
        <f aca="false">A14</f>
        <v>Player 9</v>
      </c>
      <c r="M29" s="46"/>
    </row>
    <row r="30" customFormat="false" ht="18" hidden="false" customHeight="true" outlineLevel="0" collapsed="false">
      <c r="A30" s="47" t="s">
        <v>368</v>
      </c>
      <c r="B30" s="47" t="s">
        <v>369</v>
      </c>
      <c r="C30" s="44"/>
      <c r="D30" s="47" t="s">
        <v>369</v>
      </c>
      <c r="E30" s="44"/>
      <c r="F30" s="47" t="s">
        <v>369</v>
      </c>
      <c r="G30" s="44"/>
      <c r="H30" s="47" t="s">
        <v>369</v>
      </c>
      <c r="I30" s="44"/>
      <c r="J30" s="47" t="s">
        <v>369</v>
      </c>
      <c r="K30" s="44"/>
      <c r="L30" s="47" t="s">
        <v>369</v>
      </c>
      <c r="M30" s="44"/>
    </row>
    <row r="31" customFormat="false" ht="21.75" hidden="false" customHeight="true" outlineLevel="0" collapsed="false">
      <c r="A31" s="43" t="s">
        <v>370</v>
      </c>
      <c r="B31" s="29" t="str">
        <f aca="false">A19</f>
        <v>Player 14</v>
      </c>
      <c r="C31" s="44"/>
      <c r="D31" s="29" t="str">
        <f aca="false">A8</f>
        <v>Player 3</v>
      </c>
      <c r="E31" s="44"/>
      <c r="F31" s="29" t="str">
        <f aca="false">A7</f>
        <v>Player 2</v>
      </c>
      <c r="G31" s="44"/>
      <c r="H31" s="29" t="str">
        <f aca="false">A15</f>
        <v>Player 10</v>
      </c>
      <c r="I31" s="44"/>
      <c r="J31" s="29" t="str">
        <f aca="false">A7</f>
        <v>Player 2</v>
      </c>
      <c r="K31" s="44"/>
      <c r="L31" s="29" t="str">
        <f aca="false">A6</f>
        <v>Player 1</v>
      </c>
      <c r="M31" s="44"/>
    </row>
    <row r="32" customFormat="false" ht="21.75" hidden="false" customHeight="true" outlineLevel="0" collapsed="false">
      <c r="A32" s="45"/>
      <c r="B32" s="29" t="str">
        <f aca="false">A21</f>
        <v>Player 16</v>
      </c>
      <c r="C32" s="46"/>
      <c r="D32" s="29" t="str">
        <f aca="false">A12</f>
        <v>Player 7</v>
      </c>
      <c r="E32" s="46"/>
      <c r="F32" s="29" t="str">
        <f aca="false">A19</f>
        <v>Player 14</v>
      </c>
      <c r="G32" s="46"/>
      <c r="H32" s="29" t="str">
        <f aca="false">A19</f>
        <v>Player 14</v>
      </c>
      <c r="I32" s="46"/>
      <c r="J32" s="29" t="str">
        <f aca="false">A9</f>
        <v>Player 4</v>
      </c>
      <c r="K32" s="46"/>
      <c r="L32" s="29" t="str">
        <f aca="false">A15</f>
        <v>Player 10</v>
      </c>
      <c r="M32" s="46"/>
    </row>
    <row r="33" customFormat="false" ht="21.75" hidden="false" customHeight="true" outlineLevel="0" collapsed="false">
      <c r="A33" s="42" t="s">
        <v>385</v>
      </c>
    </row>
    <row r="34" customFormat="false" ht="21.75" hidden="false" customHeight="true" outlineLevel="0" collapsed="false">
      <c r="A34" s="43" t="s">
        <v>367</v>
      </c>
      <c r="B34" s="29" t="str">
        <f aca="false">A8</f>
        <v>Player 3</v>
      </c>
      <c r="C34" s="44"/>
      <c r="D34" s="29" t="str">
        <f aca="false">A9</f>
        <v>Player 4</v>
      </c>
      <c r="E34" s="44"/>
      <c r="F34" s="29" t="str">
        <f aca="false">A15</f>
        <v>Player 10</v>
      </c>
      <c r="G34" s="44"/>
      <c r="H34" s="29" t="str">
        <f aca="false">A21</f>
        <v>Player 16</v>
      </c>
      <c r="I34" s="44"/>
      <c r="J34" s="29" t="str">
        <f aca="false">A20</f>
        <v>Player 15</v>
      </c>
      <c r="K34" s="44"/>
      <c r="L34" s="29" t="str">
        <f aca="false">A21</f>
        <v>Player 16</v>
      </c>
      <c r="M34" s="44"/>
    </row>
    <row r="35" customFormat="false" ht="21.75" hidden="false" customHeight="true" outlineLevel="0" collapsed="false">
      <c r="A35" s="45"/>
      <c r="B35" s="29" t="str">
        <f aca="false">A14</f>
        <v>Player 9</v>
      </c>
      <c r="C35" s="46"/>
      <c r="D35" s="29" t="str">
        <f aca="false">A19</f>
        <v>Player 14</v>
      </c>
      <c r="E35" s="46"/>
      <c r="F35" s="29" t="str">
        <f aca="false">A9</f>
        <v>Player 4</v>
      </c>
      <c r="G35" s="46"/>
      <c r="H35" s="29" t="str">
        <f aca="false">A23</f>
        <v>Player 18</v>
      </c>
      <c r="I35" s="46"/>
      <c r="J35" s="29" t="str">
        <f aca="false">A22</f>
        <v>Player 17</v>
      </c>
      <c r="K35" s="46"/>
      <c r="L35" s="29" t="str">
        <f aca="false">A16</f>
        <v>Player 11</v>
      </c>
      <c r="M35" s="46"/>
    </row>
    <row r="36" customFormat="false" ht="18" hidden="false" customHeight="true" outlineLevel="0" collapsed="false">
      <c r="A36" s="47" t="s">
        <v>368</v>
      </c>
      <c r="B36" s="47" t="s">
        <v>369</v>
      </c>
      <c r="C36" s="44"/>
      <c r="D36" s="47" t="s">
        <v>369</v>
      </c>
      <c r="E36" s="44"/>
      <c r="F36" s="47" t="s">
        <v>369</v>
      </c>
      <c r="G36" s="44"/>
      <c r="H36" s="47" t="s">
        <v>369</v>
      </c>
      <c r="I36" s="44"/>
      <c r="J36" s="47" t="s">
        <v>369</v>
      </c>
      <c r="K36" s="44"/>
      <c r="L36" s="47" t="s">
        <v>369</v>
      </c>
      <c r="M36" s="44"/>
    </row>
    <row r="37" customFormat="false" ht="21.75" hidden="false" customHeight="true" outlineLevel="0" collapsed="false">
      <c r="A37" s="43" t="s">
        <v>370</v>
      </c>
      <c r="B37" s="29" t="str">
        <f aca="false">A22</f>
        <v>Player 17</v>
      </c>
      <c r="C37" s="44"/>
      <c r="D37" s="29" t="str">
        <f aca="false">A10</f>
        <v>Player 5</v>
      </c>
      <c r="E37" s="44"/>
      <c r="F37" s="29" t="str">
        <f aca="false">A18</f>
        <v>Player 13</v>
      </c>
      <c r="G37" s="44"/>
      <c r="H37" s="29" t="str">
        <f aca="false">A10</f>
        <v>Player 5</v>
      </c>
      <c r="I37" s="44"/>
      <c r="J37" s="29" t="str">
        <f aca="false">A16</f>
        <v>Player 11</v>
      </c>
      <c r="K37" s="44"/>
      <c r="L37" s="29" t="str">
        <f aca="false">A19</f>
        <v>Player 14</v>
      </c>
      <c r="M37" s="44"/>
    </row>
    <row r="38" customFormat="false" ht="21.75" hidden="false" customHeight="true" outlineLevel="0" collapsed="false">
      <c r="A38" s="45"/>
      <c r="B38" s="29" t="str">
        <f aca="false">A12</f>
        <v>Player 7</v>
      </c>
      <c r="C38" s="46"/>
      <c r="D38" s="29" t="str">
        <f aca="false">A16</f>
        <v>Player 11</v>
      </c>
      <c r="E38" s="46"/>
      <c r="F38" s="29" t="str">
        <f aca="false">A12</f>
        <v>Player 7</v>
      </c>
      <c r="G38" s="46"/>
      <c r="H38" s="29" t="str">
        <f aca="false">A14</f>
        <v>Player 9</v>
      </c>
      <c r="I38" s="46"/>
      <c r="J38" s="29" t="str">
        <f aca="false">A6</f>
        <v>Player 1</v>
      </c>
      <c r="K38" s="46"/>
      <c r="L38" s="29" t="str">
        <f aca="false">A13</f>
        <v>Player 8</v>
      </c>
      <c r="M38" s="46"/>
    </row>
    <row r="39" customFormat="false" ht="21.75" hidden="false" customHeight="true" outlineLevel="0" collapsed="false">
      <c r="A39" s="42" t="s">
        <v>398</v>
      </c>
    </row>
    <row r="40" customFormat="false" ht="21.75" hidden="false" customHeight="true" outlineLevel="0" collapsed="false">
      <c r="A40" s="43" t="s">
        <v>367</v>
      </c>
      <c r="B40" s="29" t="str">
        <f aca="false">A10</f>
        <v>Player 5</v>
      </c>
      <c r="C40" s="44"/>
      <c r="D40" s="29" t="str">
        <f aca="false">A20</f>
        <v>Player 15</v>
      </c>
      <c r="E40" s="44"/>
      <c r="F40" s="29" t="str">
        <f aca="false">A20</f>
        <v>Player 15</v>
      </c>
      <c r="G40" s="44"/>
      <c r="H40" s="29" t="str">
        <f aca="false">A6</f>
        <v>Player 1</v>
      </c>
      <c r="I40" s="44"/>
      <c r="J40" s="29" t="str">
        <f aca="false">A14</f>
        <v>Player 9</v>
      </c>
      <c r="K40" s="44"/>
      <c r="L40" s="29" t="str">
        <f aca="false">A12</f>
        <v>Player 7</v>
      </c>
      <c r="M40" s="44"/>
    </row>
    <row r="41" customFormat="false" ht="21.75" hidden="false" customHeight="true" outlineLevel="0" collapsed="false">
      <c r="A41" s="45"/>
      <c r="B41" s="29" t="str">
        <f aca="false">A13</f>
        <v>Player 8</v>
      </c>
      <c r="C41" s="46"/>
      <c r="D41" s="29" t="str">
        <f aca="false">A13</f>
        <v>Player 8</v>
      </c>
      <c r="E41" s="46"/>
      <c r="F41" s="29" t="str">
        <f aca="false">A10</f>
        <v>Player 5</v>
      </c>
      <c r="G41" s="46"/>
      <c r="H41" s="29" t="str">
        <f aca="false">A22</f>
        <v>Player 17</v>
      </c>
      <c r="I41" s="46"/>
      <c r="J41" s="29" t="str">
        <f aca="false">A11</f>
        <v>Player 6</v>
      </c>
      <c r="K41" s="46"/>
      <c r="L41" s="29" t="str">
        <f aca="false">A7</f>
        <v>Player 2</v>
      </c>
      <c r="M41" s="46"/>
    </row>
    <row r="42" customFormat="false" ht="18" hidden="false" customHeight="true" outlineLevel="0" collapsed="false">
      <c r="A42" s="47" t="s">
        <v>368</v>
      </c>
      <c r="B42" s="47" t="s">
        <v>369</v>
      </c>
      <c r="C42" s="44"/>
      <c r="D42" s="47" t="s">
        <v>369</v>
      </c>
      <c r="E42" s="44"/>
      <c r="F42" s="47" t="s">
        <v>369</v>
      </c>
      <c r="G42" s="44"/>
      <c r="H42" s="47" t="s">
        <v>369</v>
      </c>
      <c r="I42" s="44"/>
      <c r="J42" s="47" t="s">
        <v>369</v>
      </c>
      <c r="K42" s="44"/>
      <c r="L42" s="47" t="s">
        <v>369</v>
      </c>
      <c r="M42" s="44"/>
    </row>
    <row r="43" customFormat="false" ht="21.75" hidden="false" customHeight="true" outlineLevel="0" collapsed="false">
      <c r="A43" s="43" t="s">
        <v>370</v>
      </c>
      <c r="B43" s="29" t="str">
        <f aca="false">A20</f>
        <v>Player 15</v>
      </c>
      <c r="C43" s="44"/>
      <c r="D43" s="29" t="str">
        <f aca="false">A11</f>
        <v>Player 6</v>
      </c>
      <c r="E43" s="44"/>
      <c r="F43" s="29" t="str">
        <f aca="false">A16</f>
        <v>Player 11</v>
      </c>
      <c r="G43" s="44"/>
      <c r="H43" s="29" t="str">
        <f aca="false">A8</f>
        <v>Player 3</v>
      </c>
      <c r="I43" s="44"/>
      <c r="J43" s="29" t="str">
        <f aca="false">A23</f>
        <v>Player 18</v>
      </c>
      <c r="K43" s="44"/>
      <c r="L43" s="29" t="str">
        <f aca="false">A10</f>
        <v>Player 5</v>
      </c>
      <c r="M43" s="44"/>
    </row>
    <row r="44" customFormat="false" ht="21.75" hidden="false" customHeight="true" outlineLevel="0" collapsed="false">
      <c r="A44" s="45"/>
      <c r="B44" s="29" t="str">
        <f aca="false">A17</f>
        <v>Player 12</v>
      </c>
      <c r="C44" s="46"/>
      <c r="D44" s="29" t="str">
        <f aca="false">A15</f>
        <v>Player 10</v>
      </c>
      <c r="E44" s="46"/>
      <c r="F44" s="29" t="str">
        <f aca="false">A22</f>
        <v>Player 17</v>
      </c>
      <c r="G44" s="46"/>
      <c r="H44" s="29" t="str">
        <f aca="false">A7</f>
        <v>Player 2</v>
      </c>
      <c r="I44" s="46"/>
      <c r="J44" s="29" t="str">
        <f aca="false">A12</f>
        <v>Player 7</v>
      </c>
      <c r="K44" s="46"/>
      <c r="L44" s="29" t="str">
        <f aca="false">A8</f>
        <v>Player 3</v>
      </c>
      <c r="M44" s="46"/>
    </row>
    <row r="45" customFormat="false" ht="21.75" hidden="false" customHeight="true" outlineLevel="0" collapsed="false">
      <c r="A45" s="42" t="s">
        <v>411</v>
      </c>
    </row>
    <row r="46" customFormat="false" ht="21.75" hidden="false" customHeight="true" outlineLevel="0" collapsed="false">
      <c r="A46" s="43" t="s">
        <v>367</v>
      </c>
      <c r="B46" s="29" t="str">
        <f aca="false">A16</f>
        <v>Player 11</v>
      </c>
      <c r="C46" s="44"/>
      <c r="D46" s="29" t="str">
        <f aca="false">A14</f>
        <v>Player 9</v>
      </c>
      <c r="E46" s="44"/>
      <c r="F46" s="29" t="str">
        <f aca="false">A11</f>
        <v>Player 6</v>
      </c>
      <c r="G46" s="44"/>
      <c r="H46" s="29" t="str">
        <f aca="false">A18</f>
        <v>Player 13</v>
      </c>
      <c r="I46" s="44"/>
      <c r="J46" s="29" t="str">
        <f aca="false">A18</f>
        <v>Player 13</v>
      </c>
      <c r="K46" s="44"/>
      <c r="L46" s="29" t="str">
        <f aca="false">A23</f>
        <v>Player 18</v>
      </c>
      <c r="M46" s="44"/>
    </row>
    <row r="47" customFormat="false" ht="21.75" hidden="false" customHeight="true" outlineLevel="0" collapsed="false">
      <c r="A47" s="45"/>
      <c r="B47" s="29" t="str">
        <f aca="false">A11</f>
        <v>Player 6</v>
      </c>
      <c r="C47" s="46"/>
      <c r="D47" s="29" t="str">
        <f aca="false">A6</f>
        <v>Player 1</v>
      </c>
      <c r="E47" s="46"/>
      <c r="F47" s="29" t="str">
        <f aca="false">A17</f>
        <v>Player 12</v>
      </c>
      <c r="G47" s="46"/>
      <c r="H47" s="29" t="str">
        <f aca="false">A11</f>
        <v>Player 6</v>
      </c>
      <c r="I47" s="46"/>
      <c r="J47" s="29" t="str">
        <f aca="false">A8</f>
        <v>Player 3</v>
      </c>
      <c r="K47" s="46"/>
      <c r="L47" s="29" t="str">
        <f aca="false">A22</f>
        <v>Player 17</v>
      </c>
      <c r="M47" s="46"/>
    </row>
    <row r="48" customFormat="false" ht="18" hidden="false" customHeight="true" outlineLevel="0" collapsed="false">
      <c r="A48" s="47" t="s">
        <v>368</v>
      </c>
      <c r="B48" s="47" t="s">
        <v>369</v>
      </c>
      <c r="C48" s="44"/>
      <c r="D48" s="47" t="s">
        <v>369</v>
      </c>
      <c r="E48" s="44"/>
      <c r="F48" s="47" t="s">
        <v>369</v>
      </c>
      <c r="G48" s="44"/>
      <c r="H48" s="47" t="s">
        <v>369</v>
      </c>
      <c r="I48" s="44"/>
      <c r="J48" s="47" t="s">
        <v>369</v>
      </c>
      <c r="K48" s="44"/>
      <c r="L48" s="47" t="s">
        <v>369</v>
      </c>
      <c r="M48" s="44"/>
    </row>
    <row r="49" customFormat="false" ht="21.75" hidden="false" customHeight="true" outlineLevel="0" collapsed="false">
      <c r="A49" s="43" t="s">
        <v>370</v>
      </c>
      <c r="B49" s="29" t="str">
        <f aca="false">A15</f>
        <v>Player 10</v>
      </c>
      <c r="C49" s="44"/>
      <c r="D49" s="29" t="str">
        <f aca="false">A21</f>
        <v>Player 16</v>
      </c>
      <c r="E49" s="44"/>
      <c r="F49" s="29" t="str">
        <f aca="false">A14</f>
        <v>Player 9</v>
      </c>
      <c r="G49" s="44"/>
      <c r="H49" s="29" t="str">
        <f aca="false">A17</f>
        <v>Player 12</v>
      </c>
      <c r="I49" s="44"/>
      <c r="J49" s="29" t="str">
        <f aca="false">A15</f>
        <v>Player 10</v>
      </c>
      <c r="K49" s="44"/>
      <c r="L49" s="29" t="str">
        <f aca="false">A9</f>
        <v>Player 4</v>
      </c>
      <c r="M49" s="44"/>
    </row>
    <row r="50" customFormat="false" ht="21.75" hidden="false" customHeight="true" outlineLevel="0" collapsed="false">
      <c r="A50" s="45"/>
      <c r="B50" s="29" t="str">
        <f aca="false">A7</f>
        <v>Player 2</v>
      </c>
      <c r="C50" s="46"/>
      <c r="D50" s="29" t="str">
        <f aca="false">A18</f>
        <v>Player 13</v>
      </c>
      <c r="E50" s="46"/>
      <c r="F50" s="29" t="str">
        <f aca="false">A23</f>
        <v>Player 18</v>
      </c>
      <c r="G50" s="46"/>
      <c r="H50" s="29" t="str">
        <f aca="false">A16</f>
        <v>Player 11</v>
      </c>
      <c r="I50" s="46"/>
      <c r="J50" s="29" t="str">
        <f aca="false">A21</f>
        <v>Player 16</v>
      </c>
      <c r="K50" s="46"/>
      <c r="L50" s="29" t="str">
        <f aca="false">A20</f>
        <v>Player 15</v>
      </c>
      <c r="M50" s="46"/>
    </row>
    <row r="52" customFormat="false" ht="21.75" hidden="false" customHeight="true" outlineLevel="0" collapsed="false">
      <c r="A52" s="48" t="s">
        <v>374</v>
      </c>
      <c r="B52" s="49" t="str">
        <f aca="false">A6&amp;", "&amp;A23</f>
        <v>Player 1, Player 18</v>
      </c>
      <c r="C52" s="49"/>
      <c r="D52" s="49" t="str">
        <f aca="false">A7&amp;", "&amp;A22</f>
        <v>Player 2, Player 17</v>
      </c>
      <c r="E52" s="49"/>
      <c r="F52" s="49" t="str">
        <f aca="false">A8&amp;", "&amp;A21</f>
        <v>Player 3, Player 16</v>
      </c>
      <c r="G52" s="49"/>
      <c r="H52" s="49" t="str">
        <f aca="false">A9&amp;", "&amp;A20</f>
        <v>Player 4, Player 15</v>
      </c>
      <c r="I52" s="49"/>
      <c r="J52" s="49" t="str">
        <f aca="false">A10&amp;", "&amp;A19</f>
        <v>Player 5, Player 14</v>
      </c>
      <c r="K52" s="49"/>
      <c r="L52" s="49" t="str">
        <f aca="false">A11&amp;", "&amp;A18</f>
        <v>Player 6, Player 13</v>
      </c>
      <c r="M52" s="49"/>
    </row>
  </sheetData>
  <mergeCells count="16">
    <mergeCell ref="A1:M1"/>
    <mergeCell ref="A2:M2"/>
    <mergeCell ref="A4:G4"/>
    <mergeCell ref="A25:M25"/>
    <mergeCell ref="B26:C26"/>
    <mergeCell ref="D26:E26"/>
    <mergeCell ref="F26:G26"/>
    <mergeCell ref="H26:I26"/>
    <mergeCell ref="J26:K26"/>
    <mergeCell ref="L26:M26"/>
    <mergeCell ref="B52:C52"/>
    <mergeCell ref="D52:E52"/>
    <mergeCell ref="F52:G52"/>
    <mergeCell ref="H52:I52"/>
    <mergeCell ref="J52:K52"/>
    <mergeCell ref="L52:M5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9" topLeftCell="A10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22"/>
    <col collapsed="false" customWidth="true" hidden="false" outlineLevel="0" max="3" min="3" style="0" width="7"/>
    <col collapsed="false" customWidth="true" hidden="false" outlineLevel="0" max="4" min="4" style="0" width="14"/>
    <col collapsed="false" customWidth="true" hidden="false" outlineLevel="0" max="5" min="5" style="0" width="7"/>
    <col collapsed="false" customWidth="true" hidden="false" outlineLevel="0" max="6" min="6" style="0" width="14"/>
    <col collapsed="false" customWidth="true" hidden="false" outlineLevel="0" max="7" min="7" style="0" width="7"/>
    <col collapsed="false" customWidth="true" hidden="false" outlineLevel="0" max="8" min="8" style="0" width="14"/>
    <col collapsed="false" customWidth="true" hidden="false" outlineLevel="0" max="9" min="9" style="0" width="7"/>
    <col collapsed="false" customWidth="true" hidden="false" outlineLevel="0" max="10" min="10" style="0" width="14"/>
    <col collapsed="false" customWidth="true" hidden="false" outlineLevel="0" max="11" min="11" style="0" width="7"/>
    <col collapsed="false" customWidth="true" hidden="false" outlineLevel="0" max="12" min="12" style="0" width="14"/>
    <col collapsed="false" customWidth="true" hidden="false" outlineLevel="0" max="13" min="13" style="0" width="7"/>
  </cols>
  <sheetData>
    <row r="1" customFormat="false" ht="22.05" hidden="false" customHeight="false" outlineLevel="0" collapsed="false">
      <c r="A1" s="36" t="s">
        <v>418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</row>
    <row r="2" customFormat="false" ht="15" hidden="false" customHeight="false" outlineLevel="0" collapsed="false">
      <c r="A2" s="37" t="s">
        <v>419</v>
      </c>
      <c r="B2" s="37"/>
      <c r="C2" s="37"/>
      <c r="D2" s="37"/>
      <c r="E2" s="37"/>
      <c r="F2" s="37"/>
      <c r="G2" s="37"/>
      <c r="H2" s="37"/>
      <c r="I2" s="37"/>
      <c r="J2" s="37"/>
      <c r="K2" s="37"/>
      <c r="L2" s="37"/>
      <c r="M2" s="37"/>
    </row>
    <row r="4" customFormat="false" ht="15" hidden="false" customHeight="true" outlineLevel="0" collapsed="false">
      <c r="A4" s="18" t="s">
        <v>420</v>
      </c>
      <c r="B4" s="18"/>
      <c r="C4" s="18"/>
      <c r="D4" s="18"/>
      <c r="E4" s="18"/>
      <c r="F4" s="18"/>
      <c r="G4" s="18"/>
      <c r="H4" s="18"/>
    </row>
    <row r="5" customFormat="false" ht="21.75" hidden="false" customHeight="true" outlineLevel="0" collapsed="false">
      <c r="A5" s="38" t="s">
        <v>421</v>
      </c>
      <c r="B5" s="38" t="s">
        <v>30</v>
      </c>
      <c r="C5" s="38" t="s">
        <v>348</v>
      </c>
      <c r="D5" s="38" t="s">
        <v>349</v>
      </c>
      <c r="E5" s="38" t="s">
        <v>350</v>
      </c>
      <c r="F5" s="38" t="s">
        <v>351</v>
      </c>
      <c r="G5" s="38" t="s">
        <v>352</v>
      </c>
      <c r="H5" s="38" t="s">
        <v>353</v>
      </c>
    </row>
    <row r="6" customFormat="false" ht="15" hidden="false" customHeight="false" outlineLevel="0" collapsed="false">
      <c r="A6" s="39" t="s">
        <v>422</v>
      </c>
      <c r="B6" s="50" t="s">
        <v>423</v>
      </c>
      <c r="C6" s="40" t="n">
        <f aca="false">IF(E13&gt;E15,1,0)+IF(G13&gt;G15,1,0)+IF(K13&gt;K15,1,0)+IF(M13&gt;M15,1,0)</f>
        <v>0</v>
      </c>
      <c r="D6" s="40" t="n">
        <f aca="false">N(E13)+N(G13)+N(K13)+N(M13)</f>
        <v>0</v>
      </c>
      <c r="E6" s="40" t="n">
        <f aca="false">N(E15)+N(G15)+N(K15)+N(M15)</f>
        <v>0</v>
      </c>
      <c r="F6" s="40" t="n">
        <f aca="false">D6-E6</f>
        <v>0</v>
      </c>
      <c r="G6" s="40" t="n">
        <f aca="false">RANK(C6,$C$6:$C$8)+SUMPRODUCT(($C$6:$C$8=C6)*($F$6:$F$8&gt;F6))</f>
        <v>1</v>
      </c>
      <c r="H6" s="40" t="n">
        <f aca="false">IF(N(E13)+N(E15)&gt;0,1,0)+IF(N(G13)+N(G15)&gt;0,1,0)+IF(N(K13)+N(K15)&gt;0,1,0)+IF(N(M13)+N(M15)&gt;0,1,0)</f>
        <v>0</v>
      </c>
    </row>
    <row r="7" customFormat="false" ht="15" hidden="false" customHeight="false" outlineLevel="0" collapsed="false">
      <c r="A7" s="39" t="s">
        <v>424</v>
      </c>
      <c r="B7" s="50" t="s">
        <v>425</v>
      </c>
      <c r="C7" s="40" t="n">
        <f aca="false">IF(C13&gt;C15,1,0)+IF(G15&gt;G13,1,0)+IF(I13&gt;I15,1,0)+IF(M15&gt;M13,1,0)</f>
        <v>0</v>
      </c>
      <c r="D7" s="40" t="n">
        <f aca="false">N(C13)+N(G15)+N(I13)+N(M15)</f>
        <v>0</v>
      </c>
      <c r="E7" s="40" t="n">
        <f aca="false">N(C15)+N(G13)+N(I15)+N(M13)</f>
        <v>0</v>
      </c>
      <c r="F7" s="40" t="n">
        <f aca="false">D7-E7</f>
        <v>0</v>
      </c>
      <c r="G7" s="40" t="n">
        <f aca="false">RANK(C7,$C$6:$C$8)+SUMPRODUCT(($C$6:$C$8=C7)*($F$6:$F$8&gt;F7))</f>
        <v>1</v>
      </c>
      <c r="H7" s="40" t="n">
        <f aca="false">IF(N(C13)+N(C15)&gt;0,1,0)+IF(N(G15)+N(G13)&gt;0,1,0)+IF(N(I13)+N(I15)&gt;0,1,0)+IF(N(M15)+N(M13)&gt;0,1,0)</f>
        <v>0</v>
      </c>
    </row>
    <row r="8" customFormat="false" ht="15" hidden="false" customHeight="false" outlineLevel="0" collapsed="false">
      <c r="A8" s="39" t="s">
        <v>426</v>
      </c>
      <c r="B8" s="50" t="s">
        <v>427</v>
      </c>
      <c r="C8" s="40" t="n">
        <f aca="false">IF(C15&gt;C13,1,0)+IF(E15&gt;E13,1,0)+IF(I15&gt;I13,1,0)+IF(K15&gt;K13,1,0)</f>
        <v>0</v>
      </c>
      <c r="D8" s="40" t="n">
        <f aca="false">N(C15)+N(E15)+N(I15)+N(K15)</f>
        <v>0</v>
      </c>
      <c r="E8" s="40" t="n">
        <f aca="false">N(C13)+N(E13)+N(I13)+N(K13)</f>
        <v>0</v>
      </c>
      <c r="F8" s="40" t="n">
        <f aca="false">D8-E8</f>
        <v>0</v>
      </c>
      <c r="G8" s="40" t="n">
        <f aca="false">RANK(C8,$C$6:$C$8)+SUMPRODUCT(($C$6:$C$8=C8)*($F$6:$F$8&gt;F8))</f>
        <v>1</v>
      </c>
      <c r="H8" s="40" t="n">
        <f aca="false">IF(N(C15)+N(C13)&gt;0,1,0)+IF(N(E15)+N(E13)&gt;0,1,0)+IF(N(I15)+N(I13)&gt;0,1,0)+IF(N(K15)+N(K13)&gt;0,1,0)</f>
        <v>0</v>
      </c>
    </row>
    <row r="10" customFormat="false" ht="15" hidden="false" customHeight="true" outlineLevel="0" collapsed="false">
      <c r="A10" s="18" t="s">
        <v>358</v>
      </c>
      <c r="B10" s="18"/>
      <c r="C10" s="18"/>
      <c r="D10" s="18"/>
      <c r="E10" s="18"/>
      <c r="F10" s="18"/>
      <c r="G10" s="18"/>
      <c r="H10" s="18"/>
      <c r="I10" s="18"/>
      <c r="J10" s="18"/>
      <c r="K10" s="18"/>
      <c r="L10" s="18"/>
      <c r="M10" s="18"/>
    </row>
    <row r="11" customFormat="false" ht="21.75" hidden="false" customHeight="true" outlineLevel="0" collapsed="false">
      <c r="A11" s="38" t="s">
        <v>428</v>
      </c>
      <c r="B11" s="51" t="s">
        <v>360</v>
      </c>
      <c r="C11" s="51"/>
      <c r="D11" s="51" t="s">
        <v>361</v>
      </c>
      <c r="E11" s="51"/>
      <c r="F11" s="51" t="s">
        <v>362</v>
      </c>
      <c r="G11" s="51"/>
      <c r="H11" s="51" t="s">
        <v>363</v>
      </c>
      <c r="I11" s="51"/>
      <c r="J11" s="51" t="s">
        <v>364</v>
      </c>
      <c r="K11" s="51"/>
      <c r="L11" s="51" t="s">
        <v>365</v>
      </c>
      <c r="M11" s="51"/>
    </row>
    <row r="12" customFormat="false" ht="21.75" hidden="false" customHeight="true" outlineLevel="0" collapsed="false">
      <c r="A12" s="42" t="s">
        <v>429</v>
      </c>
    </row>
    <row r="13" customFormat="false" ht="21.75" hidden="false" customHeight="true" outlineLevel="0" collapsed="false">
      <c r="A13" s="43" t="s">
        <v>367</v>
      </c>
      <c r="B13" s="29" t="str">
        <f aca="false">A7</f>
        <v>Team 2</v>
      </c>
      <c r="C13" s="46"/>
      <c r="D13" s="29" t="str">
        <f aca="false">A6</f>
        <v>Team 1</v>
      </c>
      <c r="E13" s="46"/>
      <c r="F13" s="29" t="str">
        <f aca="false">A6</f>
        <v>Team 1</v>
      </c>
      <c r="G13" s="46"/>
      <c r="H13" s="29" t="str">
        <f aca="false">A7</f>
        <v>Team 2</v>
      </c>
      <c r="I13" s="46"/>
      <c r="J13" s="29" t="str">
        <f aca="false">A6</f>
        <v>Team 1</v>
      </c>
      <c r="K13" s="46"/>
      <c r="L13" s="29" t="str">
        <f aca="false">A6</f>
        <v>Team 1</v>
      </c>
      <c r="M13" s="46"/>
    </row>
    <row r="14" customFormat="false" ht="18" hidden="false" customHeight="true" outlineLevel="0" collapsed="false">
      <c r="A14" s="47" t="s">
        <v>368</v>
      </c>
      <c r="B14" s="47" t="s">
        <v>369</v>
      </c>
      <c r="C14" s="44"/>
      <c r="D14" s="47" t="s">
        <v>369</v>
      </c>
      <c r="E14" s="44"/>
      <c r="F14" s="47" t="s">
        <v>369</v>
      </c>
      <c r="G14" s="44"/>
      <c r="H14" s="47" t="s">
        <v>369</v>
      </c>
      <c r="I14" s="44"/>
      <c r="J14" s="47" t="s">
        <v>369</v>
      </c>
      <c r="K14" s="44"/>
      <c r="L14" s="47" t="s">
        <v>369</v>
      </c>
      <c r="M14" s="44"/>
    </row>
    <row r="15" customFormat="false" ht="21.75" hidden="false" customHeight="true" outlineLevel="0" collapsed="false">
      <c r="A15" s="43" t="s">
        <v>370</v>
      </c>
      <c r="B15" s="29" t="str">
        <f aca="false">A8</f>
        <v>Team 3</v>
      </c>
      <c r="C15" s="46"/>
      <c r="D15" s="29" t="str">
        <f aca="false">A8</f>
        <v>Team 3</v>
      </c>
      <c r="E15" s="46"/>
      <c r="F15" s="29" t="str">
        <f aca="false">A7</f>
        <v>Team 2</v>
      </c>
      <c r="G15" s="46"/>
      <c r="H15" s="29" t="str">
        <f aca="false">A8</f>
        <v>Team 3</v>
      </c>
      <c r="I15" s="46"/>
      <c r="J15" s="29" t="str">
        <f aca="false">A8</f>
        <v>Team 3</v>
      </c>
      <c r="K15" s="46"/>
      <c r="L15" s="29" t="str">
        <f aca="false">A7</f>
        <v>Team 2</v>
      </c>
      <c r="M15" s="46"/>
    </row>
    <row r="17" customFormat="false" ht="21.75" hidden="false" customHeight="true" outlineLevel="0" collapsed="false">
      <c r="A17" s="48" t="s">
        <v>374</v>
      </c>
      <c r="B17" s="49" t="str">
        <f aca="false">A6</f>
        <v>Team 1</v>
      </c>
      <c r="C17" s="49"/>
      <c r="D17" s="49" t="str">
        <f aca="false">A7</f>
        <v>Team 2</v>
      </c>
      <c r="E17" s="49"/>
      <c r="F17" s="49" t="str">
        <f aca="false">A8</f>
        <v>Team 3</v>
      </c>
      <c r="G17" s="49"/>
      <c r="H17" s="49" t="str">
        <f aca="false">A6</f>
        <v>Team 1</v>
      </c>
      <c r="I17" s="49"/>
      <c r="J17" s="49" t="str">
        <f aca="false">A7</f>
        <v>Team 2</v>
      </c>
      <c r="K17" s="49"/>
      <c r="L17" s="49" t="str">
        <f aca="false">A8</f>
        <v>Team 3</v>
      </c>
      <c r="M17" s="49"/>
    </row>
  </sheetData>
  <mergeCells count="16">
    <mergeCell ref="A1:M1"/>
    <mergeCell ref="A2:M2"/>
    <mergeCell ref="A4:H4"/>
    <mergeCell ref="A10:M10"/>
    <mergeCell ref="B11:C11"/>
    <mergeCell ref="D11:E11"/>
    <mergeCell ref="F11:G11"/>
    <mergeCell ref="H11:I11"/>
    <mergeCell ref="J11:K11"/>
    <mergeCell ref="L11:M11"/>
    <mergeCell ref="B17:C17"/>
    <mergeCell ref="D17:E17"/>
    <mergeCell ref="F17:G17"/>
    <mergeCell ref="H17:I17"/>
    <mergeCell ref="J17:K17"/>
    <mergeCell ref="L17:M1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0" topLeftCell="A11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22"/>
    <col collapsed="false" customWidth="true" hidden="false" outlineLevel="0" max="3" min="3" style="0" width="7"/>
    <col collapsed="false" customWidth="true" hidden="false" outlineLevel="0" max="4" min="4" style="0" width="14"/>
    <col collapsed="false" customWidth="true" hidden="false" outlineLevel="0" max="5" min="5" style="0" width="7"/>
    <col collapsed="false" customWidth="true" hidden="false" outlineLevel="0" max="6" min="6" style="0" width="14"/>
    <col collapsed="false" customWidth="true" hidden="false" outlineLevel="0" max="7" min="7" style="0" width="7"/>
  </cols>
  <sheetData>
    <row r="1" customFormat="false" ht="22.05" hidden="false" customHeight="false" outlineLevel="0" collapsed="false">
      <c r="A1" s="36" t="s">
        <v>430</v>
      </c>
      <c r="B1" s="36"/>
      <c r="C1" s="36"/>
      <c r="D1" s="36"/>
      <c r="E1" s="36"/>
      <c r="F1" s="36"/>
      <c r="G1" s="36"/>
    </row>
    <row r="2" customFormat="false" ht="15" hidden="false" customHeight="false" outlineLevel="0" collapsed="false">
      <c r="A2" s="37" t="s">
        <v>431</v>
      </c>
      <c r="B2" s="37"/>
      <c r="C2" s="37"/>
      <c r="D2" s="37"/>
      <c r="E2" s="37"/>
      <c r="F2" s="37"/>
      <c r="G2" s="37"/>
    </row>
    <row r="4" customFormat="false" ht="26.85" hidden="false" customHeight="true" outlineLevel="0" collapsed="false">
      <c r="A4" s="18" t="s">
        <v>420</v>
      </c>
      <c r="B4" s="18"/>
      <c r="C4" s="18"/>
      <c r="D4" s="18"/>
      <c r="E4" s="18"/>
      <c r="F4" s="18"/>
      <c r="G4" s="18"/>
      <c r="H4" s="18"/>
    </row>
    <row r="5" customFormat="false" ht="21.75" hidden="false" customHeight="true" outlineLevel="0" collapsed="false">
      <c r="A5" s="38" t="s">
        <v>421</v>
      </c>
      <c r="B5" s="38" t="s">
        <v>30</v>
      </c>
      <c r="C5" s="38" t="s">
        <v>348</v>
      </c>
      <c r="D5" s="38" t="s">
        <v>349</v>
      </c>
      <c r="E5" s="38" t="s">
        <v>350</v>
      </c>
      <c r="F5" s="38" t="s">
        <v>351</v>
      </c>
      <c r="G5" s="38" t="s">
        <v>352</v>
      </c>
      <c r="H5" s="38" t="s">
        <v>353</v>
      </c>
    </row>
    <row r="6" customFormat="false" ht="15" hidden="false" customHeight="false" outlineLevel="0" collapsed="false">
      <c r="A6" s="39" t="s">
        <v>422</v>
      </c>
      <c r="B6" s="50" t="s">
        <v>423</v>
      </c>
      <c r="C6" s="40" t="n">
        <f aca="false">IF(C14&gt;C16,1,0)+IF(E14&gt;E16,1,0)+IF(G14&gt;G16,1,0)</f>
        <v>0</v>
      </c>
      <c r="D6" s="40" t="n">
        <f aca="false">N(C14)+N(E14)+N(G14)</f>
        <v>0</v>
      </c>
      <c r="E6" s="40" t="n">
        <f aca="false">N(C16)+N(E16)+N(G16)</f>
        <v>0</v>
      </c>
      <c r="F6" s="40" t="n">
        <f aca="false">D6-E6</f>
        <v>0</v>
      </c>
      <c r="G6" s="40" t="n">
        <f aca="false">RANK(C6,$C$6:$C$9)+SUMPRODUCT(($C$6:$C$9=C6)*($F$6:$F$9&gt;F6))</f>
        <v>1</v>
      </c>
      <c r="H6" s="40" t="n">
        <f aca="false">IF(N(C14)+N(C16)&gt;0,1,0)+IF(N(E14)+N(E16)&gt;0,1,0)+IF(N(G14)+N(G16)&gt;0,1,0)</f>
        <v>0</v>
      </c>
    </row>
    <row r="7" customFormat="false" ht="15" hidden="false" customHeight="false" outlineLevel="0" collapsed="false">
      <c r="A7" s="39" t="s">
        <v>424</v>
      </c>
      <c r="B7" s="50" t="s">
        <v>425</v>
      </c>
      <c r="C7" s="40" t="n">
        <f aca="false">IF(G16&gt;G14,1,0)+IF(C18&gt;C20,1,0)+IF(E20&gt;E18,1,0)</f>
        <v>0</v>
      </c>
      <c r="D7" s="40" t="n">
        <f aca="false">N(G16)+N(C18)+N(E20)</f>
        <v>0</v>
      </c>
      <c r="E7" s="40" t="n">
        <f aca="false">N(G14)+N(C20)+N(E18)</f>
        <v>0</v>
      </c>
      <c r="F7" s="40" t="n">
        <f aca="false">D7-E7</f>
        <v>0</v>
      </c>
      <c r="G7" s="40" t="n">
        <f aca="false">RANK(C7,$C$6:$C$9)+SUMPRODUCT(($C$6:$C$9=C7)*($F$6:$F$9&gt;F7))</f>
        <v>1</v>
      </c>
      <c r="H7" s="40" t="n">
        <f aca="false">IF(N(G16)+N(G14)&gt;0,1,0)+IF(N(C18)+N(C20)&gt;0,1,0)+IF(N(E20)+N(E18)&gt;0,1,0)</f>
        <v>0</v>
      </c>
    </row>
    <row r="8" customFormat="false" ht="15" hidden="false" customHeight="false" outlineLevel="0" collapsed="false">
      <c r="A8" s="39" t="s">
        <v>426</v>
      </c>
      <c r="B8" s="50" t="s">
        <v>427</v>
      </c>
      <c r="C8" s="40" t="n">
        <f aca="false">IF(E16&gt;E14,1,0)+IF(C20&gt;C18,1,0)+IF(G18&gt;G20,1,0)</f>
        <v>0</v>
      </c>
      <c r="D8" s="40" t="n">
        <f aca="false">N(E16)+N(C20)+N(G18)</f>
        <v>0</v>
      </c>
      <c r="E8" s="40" t="n">
        <f aca="false">N(E14)+N(C18)+N(G20)</f>
        <v>0</v>
      </c>
      <c r="F8" s="40" t="n">
        <f aca="false">D8-E8</f>
        <v>0</v>
      </c>
      <c r="G8" s="40" t="n">
        <f aca="false">RANK(C8,$C$6:$C$9)+SUMPRODUCT(($C$6:$C$9=C8)*($F$6:$F$9&gt;F8))</f>
        <v>1</v>
      </c>
      <c r="H8" s="40" t="n">
        <f aca="false">IF(N(E16)+N(E14)&gt;0,1,0)+IF(N(C20)+N(C18)&gt;0,1,0)+IF(N(G18)+N(G20)&gt;0,1,0)</f>
        <v>0</v>
      </c>
    </row>
    <row r="9" customFormat="false" ht="15" hidden="false" customHeight="false" outlineLevel="0" collapsed="false">
      <c r="A9" s="39" t="s">
        <v>432</v>
      </c>
      <c r="B9" s="50" t="s">
        <v>433</v>
      </c>
      <c r="C9" s="40" t="n">
        <f aca="false">IF(C16&gt;C14,1,0)+IF(E18&gt;E20,1,0)+IF(G20&gt;G18,1,0)</f>
        <v>0</v>
      </c>
      <c r="D9" s="40" t="n">
        <f aca="false">N(C16)+N(E18)+N(G20)</f>
        <v>0</v>
      </c>
      <c r="E9" s="40" t="n">
        <f aca="false">N(C14)+N(E20)+N(G18)</f>
        <v>0</v>
      </c>
      <c r="F9" s="40" t="n">
        <f aca="false">D9-E9</f>
        <v>0</v>
      </c>
      <c r="G9" s="40" t="n">
        <f aca="false">RANK(C9,$C$6:$C$9)+SUMPRODUCT(($C$6:$C$9=C9)*($F$6:$F$9&gt;F9))</f>
        <v>1</v>
      </c>
      <c r="H9" s="40" t="n">
        <f aca="false">IF(N(C16)+N(C14)&gt;0,1,0)+IF(N(E18)+N(E20)&gt;0,1,0)+IF(N(G20)+N(G18)&gt;0,1,0)</f>
        <v>0</v>
      </c>
    </row>
    <row r="11" customFormat="false" ht="15" hidden="false" customHeight="true" outlineLevel="0" collapsed="false">
      <c r="A11" s="18" t="s">
        <v>358</v>
      </c>
      <c r="B11" s="18"/>
      <c r="C11" s="18"/>
      <c r="D11" s="18"/>
      <c r="E11" s="18"/>
      <c r="F11" s="18"/>
      <c r="G11" s="18"/>
    </row>
    <row r="12" customFormat="false" ht="21.75" hidden="false" customHeight="true" outlineLevel="0" collapsed="false">
      <c r="A12" s="38" t="s">
        <v>428</v>
      </c>
      <c r="B12" s="51" t="s">
        <v>360</v>
      </c>
      <c r="C12" s="51"/>
      <c r="D12" s="51" t="s">
        <v>361</v>
      </c>
      <c r="E12" s="51"/>
      <c r="F12" s="51" t="s">
        <v>362</v>
      </c>
      <c r="G12" s="51"/>
    </row>
    <row r="13" customFormat="false" ht="21.75" hidden="false" customHeight="true" outlineLevel="0" collapsed="false">
      <c r="A13" s="42" t="s">
        <v>429</v>
      </c>
    </row>
    <row r="14" customFormat="false" ht="21.75" hidden="false" customHeight="true" outlineLevel="0" collapsed="false">
      <c r="A14" s="43" t="s">
        <v>367</v>
      </c>
      <c r="B14" s="29" t="str">
        <f aca="false">A6</f>
        <v>Team 1</v>
      </c>
      <c r="C14" s="46"/>
      <c r="D14" s="29" t="str">
        <f aca="false">A6</f>
        <v>Team 1</v>
      </c>
      <c r="E14" s="46"/>
      <c r="F14" s="29" t="str">
        <f aca="false">A6</f>
        <v>Team 1</v>
      </c>
      <c r="G14" s="46"/>
    </row>
    <row r="15" customFormat="false" ht="18" hidden="false" customHeight="true" outlineLevel="0" collapsed="false">
      <c r="A15" s="47" t="s">
        <v>368</v>
      </c>
      <c r="B15" s="47" t="s">
        <v>369</v>
      </c>
      <c r="C15" s="44"/>
      <c r="D15" s="47" t="s">
        <v>369</v>
      </c>
      <c r="E15" s="44"/>
      <c r="F15" s="47" t="s">
        <v>369</v>
      </c>
      <c r="G15" s="44"/>
    </row>
    <row r="16" customFormat="false" ht="21.75" hidden="false" customHeight="true" outlineLevel="0" collapsed="false">
      <c r="A16" s="43" t="s">
        <v>370</v>
      </c>
      <c r="B16" s="29" t="str">
        <f aca="false">A9</f>
        <v>Team 4</v>
      </c>
      <c r="C16" s="46"/>
      <c r="D16" s="29" t="str">
        <f aca="false">A8</f>
        <v>Team 3</v>
      </c>
      <c r="E16" s="46"/>
      <c r="F16" s="29" t="str">
        <f aca="false">A7</f>
        <v>Team 2</v>
      </c>
      <c r="G16" s="46"/>
    </row>
    <row r="17" customFormat="false" ht="21.75" hidden="false" customHeight="true" outlineLevel="0" collapsed="false">
      <c r="A17" s="42" t="s">
        <v>434</v>
      </c>
    </row>
    <row r="18" customFormat="false" ht="21.75" hidden="false" customHeight="true" outlineLevel="0" collapsed="false">
      <c r="A18" s="43" t="s">
        <v>367</v>
      </c>
      <c r="B18" s="29" t="str">
        <f aca="false">A7</f>
        <v>Team 2</v>
      </c>
      <c r="C18" s="46"/>
      <c r="D18" s="29" t="str">
        <f aca="false">A9</f>
        <v>Team 4</v>
      </c>
      <c r="E18" s="46"/>
      <c r="F18" s="29" t="str">
        <f aca="false">A8</f>
        <v>Team 3</v>
      </c>
      <c r="G18" s="46"/>
    </row>
    <row r="19" customFormat="false" ht="18" hidden="false" customHeight="true" outlineLevel="0" collapsed="false">
      <c r="A19" s="47" t="s">
        <v>368</v>
      </c>
      <c r="B19" s="47" t="s">
        <v>369</v>
      </c>
      <c r="C19" s="44"/>
      <c r="D19" s="47" t="s">
        <v>369</v>
      </c>
      <c r="E19" s="44"/>
      <c r="F19" s="47" t="s">
        <v>369</v>
      </c>
      <c r="G19" s="44"/>
    </row>
    <row r="20" customFormat="false" ht="21.75" hidden="false" customHeight="true" outlineLevel="0" collapsed="false">
      <c r="A20" s="43" t="s">
        <v>370</v>
      </c>
      <c r="B20" s="29" t="str">
        <f aca="false">A8</f>
        <v>Team 3</v>
      </c>
      <c r="C20" s="46"/>
      <c r="D20" s="29" t="str">
        <f aca="false">A7</f>
        <v>Team 2</v>
      </c>
      <c r="E20" s="46"/>
      <c r="F20" s="29" t="str">
        <f aca="false">A9</f>
        <v>Team 4</v>
      </c>
      <c r="G20" s="46"/>
    </row>
  </sheetData>
  <mergeCells count="7">
    <mergeCell ref="A1:G1"/>
    <mergeCell ref="A2:G2"/>
    <mergeCell ref="A4:H4"/>
    <mergeCell ref="A11:G11"/>
    <mergeCell ref="B12:C12"/>
    <mergeCell ref="D12:E12"/>
    <mergeCell ref="F12:G1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1" topLeftCell="A1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22"/>
    <col collapsed="false" customWidth="true" hidden="false" outlineLevel="0" max="3" min="3" style="0" width="7"/>
    <col collapsed="false" customWidth="true" hidden="false" outlineLevel="0" max="4" min="4" style="0" width="14"/>
    <col collapsed="false" customWidth="true" hidden="false" outlineLevel="0" max="5" min="5" style="0" width="7"/>
    <col collapsed="false" customWidth="true" hidden="false" outlineLevel="0" max="6" min="6" style="0" width="14"/>
    <col collapsed="false" customWidth="true" hidden="false" outlineLevel="0" max="7" min="7" style="0" width="7"/>
    <col collapsed="false" customWidth="true" hidden="false" outlineLevel="0" max="8" min="8" style="0" width="14"/>
    <col collapsed="false" customWidth="true" hidden="false" outlineLevel="0" max="9" min="9" style="0" width="7"/>
    <col collapsed="false" customWidth="true" hidden="false" outlineLevel="0" max="10" min="10" style="0" width="14"/>
    <col collapsed="false" customWidth="true" hidden="false" outlineLevel="0" max="11" min="11" style="0" width="7"/>
  </cols>
  <sheetData>
    <row r="1" customFormat="false" ht="22.05" hidden="false" customHeight="false" outlineLevel="0" collapsed="false">
      <c r="A1" s="36" t="s">
        <v>435</v>
      </c>
      <c r="B1" s="36"/>
      <c r="C1" s="36"/>
      <c r="D1" s="36"/>
      <c r="E1" s="36"/>
      <c r="F1" s="36"/>
      <c r="G1" s="36"/>
      <c r="H1" s="36"/>
      <c r="I1" s="36"/>
      <c r="J1" s="36"/>
      <c r="K1" s="36"/>
    </row>
    <row r="2" customFormat="false" ht="15" hidden="false" customHeight="false" outlineLevel="0" collapsed="false">
      <c r="A2" s="37" t="s">
        <v>436</v>
      </c>
      <c r="B2" s="37"/>
      <c r="C2" s="37"/>
      <c r="D2" s="37"/>
      <c r="E2" s="37"/>
      <c r="F2" s="37"/>
      <c r="G2" s="37"/>
      <c r="H2" s="37"/>
      <c r="I2" s="37"/>
      <c r="J2" s="37"/>
      <c r="K2" s="37"/>
    </row>
    <row r="4" customFormat="false" ht="15" hidden="false" customHeight="true" outlineLevel="0" collapsed="false">
      <c r="A4" s="18" t="s">
        <v>420</v>
      </c>
      <c r="B4" s="18"/>
      <c r="C4" s="18"/>
      <c r="D4" s="18"/>
      <c r="E4" s="18"/>
      <c r="F4" s="18"/>
      <c r="G4" s="18"/>
      <c r="H4" s="18"/>
    </row>
    <row r="5" customFormat="false" ht="21.75" hidden="false" customHeight="true" outlineLevel="0" collapsed="false">
      <c r="A5" s="38" t="s">
        <v>421</v>
      </c>
      <c r="B5" s="38" t="s">
        <v>30</v>
      </c>
      <c r="C5" s="38" t="s">
        <v>348</v>
      </c>
      <c r="D5" s="38" t="s">
        <v>349</v>
      </c>
      <c r="E5" s="38" t="s">
        <v>350</v>
      </c>
      <c r="F5" s="38" t="s">
        <v>351</v>
      </c>
      <c r="G5" s="38" t="s">
        <v>352</v>
      </c>
      <c r="H5" s="38" t="s">
        <v>353</v>
      </c>
    </row>
    <row r="6" customFormat="false" ht="15" hidden="false" customHeight="false" outlineLevel="0" collapsed="false">
      <c r="A6" s="39" t="s">
        <v>422</v>
      </c>
      <c r="B6" s="50" t="s">
        <v>423</v>
      </c>
      <c r="C6" s="40" t="n">
        <f aca="false">IF(E15&gt;E17,1,0)+IF(G15&gt;G17,1,0)+IF(I15&gt;I17,1,0)+IF(K15&gt;K17,1,0)</f>
        <v>0</v>
      </c>
      <c r="D6" s="40" t="n">
        <f aca="false">N(E15)+N(G15)+N(I15)+N(K15)</f>
        <v>0</v>
      </c>
      <c r="E6" s="40" t="n">
        <f aca="false">N(E17)+N(G17)+N(I17)+N(K17)</f>
        <v>0</v>
      </c>
      <c r="F6" s="40" t="n">
        <f aca="false">D6-E6</f>
        <v>0</v>
      </c>
      <c r="G6" s="40" t="n">
        <f aca="false">RANK(C6,$C$6:$C$10)+SUMPRODUCT(($C$6:$C$10=C6)*($F$6:$F$10&gt;F6))</f>
        <v>1</v>
      </c>
      <c r="H6" s="40" t="n">
        <f aca="false">IF(N(E15)+N(E17)&gt;0,1,0)+IF(N(G15)+N(G17)&gt;0,1,0)+IF(N(I15)+N(I17)&gt;0,1,0)+IF(N(K15)+N(K17)&gt;0,1,0)</f>
        <v>0</v>
      </c>
    </row>
    <row r="7" customFormat="false" ht="15" hidden="false" customHeight="false" outlineLevel="0" collapsed="false">
      <c r="A7" s="39" t="s">
        <v>424</v>
      </c>
      <c r="B7" s="50" t="s">
        <v>425</v>
      </c>
      <c r="C7" s="40" t="n">
        <f aca="false">IF(C15&gt;C17,1,0)+IF(K17&gt;K15,1,0)+IF(E19&gt;E21,1,0)+IF(I21&gt;I19,1,0)</f>
        <v>0</v>
      </c>
      <c r="D7" s="40" t="n">
        <f aca="false">N(C15)+N(K17)+N(E19)+N(I21)</f>
        <v>0</v>
      </c>
      <c r="E7" s="40" t="n">
        <f aca="false">N(C17)+N(K15)+N(E21)+N(I19)</f>
        <v>0</v>
      </c>
      <c r="F7" s="40" t="n">
        <f aca="false">D7-E7</f>
        <v>0</v>
      </c>
      <c r="G7" s="40" t="n">
        <f aca="false">RANK(C7,$C$6:$C$10)+SUMPRODUCT(($C$6:$C$10=C7)*($F$6:$F$10&gt;F7))</f>
        <v>1</v>
      </c>
      <c r="H7" s="40" t="n">
        <f aca="false">IF(N(C15)+N(C17)&gt;0,1,0)+IF(N(K17)+N(K15)&gt;0,1,0)+IF(N(E19)+N(E21)&gt;0,1,0)+IF(N(I21)+N(I19)&gt;0,1,0)</f>
        <v>0</v>
      </c>
    </row>
    <row r="8" customFormat="false" ht="15" hidden="false" customHeight="false" outlineLevel="0" collapsed="false">
      <c r="A8" s="39" t="s">
        <v>426</v>
      </c>
      <c r="B8" s="50" t="s">
        <v>427</v>
      </c>
      <c r="C8" s="40" t="n">
        <f aca="false">IF(I17&gt;I15,1,0)+IF(C19&gt;C21,1,0)+IF(E21&gt;E19,1,0)+IF(G21&gt;G19,1,0)</f>
        <v>0</v>
      </c>
      <c r="D8" s="40" t="n">
        <f aca="false">N(I17)+N(C19)+N(E21)+N(G21)</f>
        <v>0</v>
      </c>
      <c r="E8" s="40" t="n">
        <f aca="false">N(I15)+N(C21)+N(E19)+N(G19)</f>
        <v>0</v>
      </c>
      <c r="F8" s="40" t="n">
        <f aca="false">D8-E8</f>
        <v>0</v>
      </c>
      <c r="G8" s="40" t="n">
        <f aca="false">RANK(C8,$C$6:$C$10)+SUMPRODUCT(($C$6:$C$10=C8)*($F$6:$F$10&gt;F8))</f>
        <v>1</v>
      </c>
      <c r="H8" s="40" t="n">
        <f aca="false">IF(N(I17)+N(I15)&gt;0,1,0)+IF(N(C19)+N(C21)&gt;0,1,0)+IF(N(E21)+N(E19)&gt;0,1,0)+IF(N(G21)+N(G19)&gt;0,1,0)</f>
        <v>0</v>
      </c>
    </row>
    <row r="9" customFormat="false" ht="15" hidden="false" customHeight="false" outlineLevel="0" collapsed="false">
      <c r="A9" s="39" t="s">
        <v>432</v>
      </c>
      <c r="B9" s="50" t="s">
        <v>433</v>
      </c>
      <c r="C9" s="40" t="n">
        <f aca="false">IF(G17&gt;G15,1,0)+IF(C21&gt;C19,1,0)+IF(I19&gt;I21,1,0)+IF(K19&gt;K21,1,0)</f>
        <v>0</v>
      </c>
      <c r="D9" s="40" t="n">
        <f aca="false">N(G17)+N(C21)+N(I19)+N(K19)</f>
        <v>0</v>
      </c>
      <c r="E9" s="40" t="n">
        <f aca="false">N(G15)+N(C19)+N(I21)+N(K21)</f>
        <v>0</v>
      </c>
      <c r="F9" s="40" t="n">
        <f aca="false">D9-E9</f>
        <v>0</v>
      </c>
      <c r="G9" s="40" t="n">
        <f aca="false">RANK(C9,$C$6:$C$10)+SUMPRODUCT(($C$6:$C$10=C9)*($F$6:$F$10&gt;F9))</f>
        <v>1</v>
      </c>
      <c r="H9" s="40" t="n">
        <f aca="false">IF(N(G17)+N(G15)&gt;0,1,0)+IF(N(C21)+N(C19)&gt;0,1,0)+IF(N(I19)+N(I21)&gt;0,1,0)+IF(N(K19)+N(K21)&gt;0,1,0)</f>
        <v>0</v>
      </c>
    </row>
    <row r="10" customFormat="false" ht="15" hidden="false" customHeight="false" outlineLevel="0" collapsed="false">
      <c r="A10" s="39" t="s">
        <v>437</v>
      </c>
      <c r="B10" s="50" t="s">
        <v>438</v>
      </c>
      <c r="C10" s="40" t="n">
        <f aca="false">IF(C17&gt;C15,1,0)+IF(E17&gt;E15,1,0)+IF(G19&gt;G21,1,0)+IF(K21&gt;K19,1,0)</f>
        <v>0</v>
      </c>
      <c r="D10" s="40" t="n">
        <f aca="false">N(C17)+N(E17)+N(G19)+N(K21)</f>
        <v>0</v>
      </c>
      <c r="E10" s="40" t="n">
        <f aca="false">N(C15)+N(E15)+N(G21)+N(K19)</f>
        <v>0</v>
      </c>
      <c r="F10" s="40" t="n">
        <f aca="false">D10-E10</f>
        <v>0</v>
      </c>
      <c r="G10" s="40" t="n">
        <f aca="false">RANK(C10,$C$6:$C$10)+SUMPRODUCT(($C$6:$C$10=C10)*($F$6:$F$10&gt;F10))</f>
        <v>1</v>
      </c>
      <c r="H10" s="40" t="n">
        <f aca="false">IF(N(C17)+N(C15)&gt;0,1,0)+IF(N(E17)+N(E15)&gt;0,1,0)+IF(N(G19)+N(G21)&gt;0,1,0)+IF(N(K21)+N(K19)&gt;0,1,0)</f>
        <v>0</v>
      </c>
    </row>
    <row r="12" customFormat="false" ht="15" hidden="false" customHeight="true" outlineLevel="0" collapsed="false">
      <c r="A12" s="18" t="s">
        <v>358</v>
      </c>
      <c r="B12" s="18"/>
      <c r="C12" s="18"/>
      <c r="D12" s="18"/>
      <c r="E12" s="18"/>
      <c r="F12" s="18"/>
      <c r="G12" s="18"/>
      <c r="H12" s="18"/>
      <c r="I12" s="18"/>
      <c r="J12" s="18"/>
      <c r="K12" s="18"/>
    </row>
    <row r="13" customFormat="false" ht="21.75" hidden="false" customHeight="true" outlineLevel="0" collapsed="false">
      <c r="A13" s="38" t="s">
        <v>428</v>
      </c>
      <c r="B13" s="51" t="s">
        <v>360</v>
      </c>
      <c r="C13" s="51"/>
      <c r="D13" s="51" t="s">
        <v>361</v>
      </c>
      <c r="E13" s="51"/>
      <c r="F13" s="51" t="s">
        <v>362</v>
      </c>
      <c r="G13" s="51"/>
      <c r="H13" s="51" t="s">
        <v>363</v>
      </c>
      <c r="I13" s="51"/>
      <c r="J13" s="51" t="s">
        <v>364</v>
      </c>
      <c r="K13" s="51"/>
    </row>
    <row r="14" customFormat="false" ht="21.75" hidden="false" customHeight="true" outlineLevel="0" collapsed="false">
      <c r="A14" s="42" t="s">
        <v>429</v>
      </c>
    </row>
    <row r="15" customFormat="false" ht="21.75" hidden="false" customHeight="true" outlineLevel="0" collapsed="false">
      <c r="A15" s="43" t="s">
        <v>367</v>
      </c>
      <c r="B15" s="29" t="str">
        <f aca="false">A7</f>
        <v>Team 2</v>
      </c>
      <c r="C15" s="46"/>
      <c r="D15" s="29" t="str">
        <f aca="false">A6</f>
        <v>Team 1</v>
      </c>
      <c r="E15" s="46"/>
      <c r="F15" s="29" t="str">
        <f aca="false">A6</f>
        <v>Team 1</v>
      </c>
      <c r="G15" s="46"/>
      <c r="H15" s="29" t="str">
        <f aca="false">A6</f>
        <v>Team 1</v>
      </c>
      <c r="I15" s="46"/>
      <c r="J15" s="29" t="str">
        <f aca="false">A6</f>
        <v>Team 1</v>
      </c>
      <c r="K15" s="46"/>
    </row>
    <row r="16" customFormat="false" ht="18" hidden="false" customHeight="true" outlineLevel="0" collapsed="false">
      <c r="A16" s="47" t="s">
        <v>368</v>
      </c>
      <c r="B16" s="47" t="s">
        <v>369</v>
      </c>
      <c r="C16" s="44"/>
      <c r="D16" s="47" t="s">
        <v>369</v>
      </c>
      <c r="E16" s="44"/>
      <c r="F16" s="47" t="s">
        <v>369</v>
      </c>
      <c r="G16" s="44"/>
      <c r="H16" s="47" t="s">
        <v>369</v>
      </c>
      <c r="I16" s="44"/>
      <c r="J16" s="47" t="s">
        <v>369</v>
      </c>
      <c r="K16" s="44"/>
    </row>
    <row r="17" customFormat="false" ht="21.75" hidden="false" customHeight="true" outlineLevel="0" collapsed="false">
      <c r="A17" s="43" t="s">
        <v>370</v>
      </c>
      <c r="B17" s="29" t="str">
        <f aca="false">A10</f>
        <v>Team 5</v>
      </c>
      <c r="C17" s="46"/>
      <c r="D17" s="29" t="str">
        <f aca="false">A10</f>
        <v>Team 5</v>
      </c>
      <c r="E17" s="46"/>
      <c r="F17" s="29" t="str">
        <f aca="false">A9</f>
        <v>Team 4</v>
      </c>
      <c r="G17" s="46"/>
      <c r="H17" s="29" t="str">
        <f aca="false">A8</f>
        <v>Team 3</v>
      </c>
      <c r="I17" s="46"/>
      <c r="J17" s="29" t="str">
        <f aca="false">A7</f>
        <v>Team 2</v>
      </c>
      <c r="K17" s="46"/>
    </row>
    <row r="18" customFormat="false" ht="21.75" hidden="false" customHeight="true" outlineLevel="0" collapsed="false">
      <c r="A18" s="42" t="s">
        <v>434</v>
      </c>
    </row>
    <row r="19" customFormat="false" ht="21.75" hidden="false" customHeight="true" outlineLevel="0" collapsed="false">
      <c r="A19" s="43" t="s">
        <v>367</v>
      </c>
      <c r="B19" s="29" t="str">
        <f aca="false">A8</f>
        <v>Team 3</v>
      </c>
      <c r="C19" s="46"/>
      <c r="D19" s="29" t="str">
        <f aca="false">A7</f>
        <v>Team 2</v>
      </c>
      <c r="E19" s="46"/>
      <c r="F19" s="29" t="str">
        <f aca="false">A10</f>
        <v>Team 5</v>
      </c>
      <c r="G19" s="46"/>
      <c r="H19" s="29" t="str">
        <f aca="false">A9</f>
        <v>Team 4</v>
      </c>
      <c r="I19" s="46"/>
      <c r="J19" s="29" t="str">
        <f aca="false">A9</f>
        <v>Team 4</v>
      </c>
      <c r="K19" s="46"/>
    </row>
    <row r="20" customFormat="false" ht="18" hidden="false" customHeight="true" outlineLevel="0" collapsed="false">
      <c r="A20" s="47" t="s">
        <v>368</v>
      </c>
      <c r="B20" s="47" t="s">
        <v>369</v>
      </c>
      <c r="C20" s="44"/>
      <c r="D20" s="47" t="s">
        <v>369</v>
      </c>
      <c r="E20" s="44"/>
      <c r="F20" s="47" t="s">
        <v>369</v>
      </c>
      <c r="G20" s="44"/>
      <c r="H20" s="47" t="s">
        <v>369</v>
      </c>
      <c r="I20" s="44"/>
      <c r="J20" s="47" t="s">
        <v>369</v>
      </c>
      <c r="K20" s="44"/>
    </row>
    <row r="21" customFormat="false" ht="21.75" hidden="false" customHeight="true" outlineLevel="0" collapsed="false">
      <c r="A21" s="43" t="s">
        <v>370</v>
      </c>
      <c r="B21" s="29" t="str">
        <f aca="false">A9</f>
        <v>Team 4</v>
      </c>
      <c r="C21" s="46"/>
      <c r="D21" s="29" t="str">
        <f aca="false">A8</f>
        <v>Team 3</v>
      </c>
      <c r="E21" s="46"/>
      <c r="F21" s="29" t="str">
        <f aca="false">A8</f>
        <v>Team 3</v>
      </c>
      <c r="G21" s="46"/>
      <c r="H21" s="29" t="str">
        <f aca="false">A7</f>
        <v>Team 2</v>
      </c>
      <c r="I21" s="46"/>
      <c r="J21" s="29" t="str">
        <f aca="false">A10</f>
        <v>Team 5</v>
      </c>
      <c r="K21" s="46"/>
    </row>
    <row r="23" customFormat="false" ht="21.75" hidden="false" customHeight="true" outlineLevel="0" collapsed="false">
      <c r="A23" s="48" t="s">
        <v>374</v>
      </c>
      <c r="B23" s="49" t="str">
        <f aca="false">A6</f>
        <v>Team 1</v>
      </c>
      <c r="C23" s="49"/>
      <c r="D23" s="49" t="str">
        <f aca="false">A9</f>
        <v>Team 4</v>
      </c>
      <c r="E23" s="49"/>
      <c r="F23" s="49" t="str">
        <f aca="false">A7</f>
        <v>Team 2</v>
      </c>
      <c r="G23" s="49"/>
      <c r="H23" s="49" t="str">
        <f aca="false">A10</f>
        <v>Team 5</v>
      </c>
      <c r="I23" s="49"/>
      <c r="J23" s="49" t="str">
        <f aca="false">A8</f>
        <v>Team 3</v>
      </c>
      <c r="K23" s="49"/>
    </row>
  </sheetData>
  <mergeCells count="14">
    <mergeCell ref="A1:K1"/>
    <mergeCell ref="A2:K2"/>
    <mergeCell ref="A4:H4"/>
    <mergeCell ref="A12:K12"/>
    <mergeCell ref="B13:C13"/>
    <mergeCell ref="D13:E13"/>
    <mergeCell ref="F13:G13"/>
    <mergeCell ref="H13:I13"/>
    <mergeCell ref="J13:K13"/>
    <mergeCell ref="B23:C23"/>
    <mergeCell ref="D23:E23"/>
    <mergeCell ref="F23:G23"/>
    <mergeCell ref="H23:I23"/>
    <mergeCell ref="J23:K2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2" topLeftCell="A1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22"/>
    <col collapsed="false" customWidth="true" hidden="false" outlineLevel="0" max="3" min="3" style="0" width="7"/>
    <col collapsed="false" customWidth="true" hidden="false" outlineLevel="0" max="4" min="4" style="0" width="14"/>
    <col collapsed="false" customWidth="true" hidden="false" outlineLevel="0" max="5" min="5" style="0" width="7"/>
    <col collapsed="false" customWidth="true" hidden="false" outlineLevel="0" max="6" min="6" style="0" width="14"/>
    <col collapsed="false" customWidth="true" hidden="false" outlineLevel="0" max="7" min="7" style="0" width="7"/>
    <col collapsed="false" customWidth="true" hidden="false" outlineLevel="0" max="8" min="8" style="0" width="14"/>
    <col collapsed="false" customWidth="true" hidden="false" outlineLevel="0" max="9" min="9" style="0" width="7"/>
    <col collapsed="false" customWidth="true" hidden="false" outlineLevel="0" max="10" min="10" style="0" width="14"/>
    <col collapsed="false" customWidth="true" hidden="false" outlineLevel="0" max="11" min="11" style="0" width="7"/>
  </cols>
  <sheetData>
    <row r="1" customFormat="false" ht="22.05" hidden="false" customHeight="false" outlineLevel="0" collapsed="false">
      <c r="A1" s="36" t="s">
        <v>439</v>
      </c>
      <c r="B1" s="36"/>
      <c r="C1" s="36"/>
      <c r="D1" s="36"/>
      <c r="E1" s="36"/>
      <c r="F1" s="36"/>
      <c r="G1" s="36"/>
      <c r="H1" s="36"/>
      <c r="I1" s="36"/>
      <c r="J1" s="36"/>
      <c r="K1" s="36"/>
    </row>
    <row r="2" customFormat="false" ht="15" hidden="false" customHeight="false" outlineLevel="0" collapsed="false">
      <c r="A2" s="37" t="s">
        <v>440</v>
      </c>
      <c r="B2" s="37"/>
      <c r="C2" s="37"/>
      <c r="D2" s="37"/>
      <c r="E2" s="37"/>
      <c r="F2" s="37"/>
      <c r="G2" s="37"/>
      <c r="H2" s="37"/>
      <c r="I2" s="37"/>
      <c r="J2" s="37"/>
      <c r="K2" s="37"/>
    </row>
    <row r="4" customFormat="false" ht="15" hidden="false" customHeight="true" outlineLevel="0" collapsed="false">
      <c r="A4" s="18" t="s">
        <v>420</v>
      </c>
      <c r="B4" s="18"/>
      <c r="C4" s="18"/>
      <c r="D4" s="18"/>
      <c r="E4" s="18"/>
      <c r="F4" s="18"/>
      <c r="G4" s="18"/>
      <c r="H4" s="18"/>
    </row>
    <row r="5" customFormat="false" ht="21.75" hidden="false" customHeight="true" outlineLevel="0" collapsed="false">
      <c r="A5" s="38" t="s">
        <v>421</v>
      </c>
      <c r="B5" s="38" t="s">
        <v>30</v>
      </c>
      <c r="C5" s="38" t="s">
        <v>348</v>
      </c>
      <c r="D5" s="38" t="s">
        <v>349</v>
      </c>
      <c r="E5" s="38" t="s">
        <v>350</v>
      </c>
      <c r="F5" s="38" t="s">
        <v>351</v>
      </c>
      <c r="G5" s="38" t="s">
        <v>352</v>
      </c>
      <c r="H5" s="38" t="s">
        <v>353</v>
      </c>
    </row>
    <row r="6" customFormat="false" ht="15" hidden="false" customHeight="false" outlineLevel="0" collapsed="false">
      <c r="A6" s="39" t="s">
        <v>422</v>
      </c>
      <c r="B6" s="50" t="s">
        <v>423</v>
      </c>
      <c r="C6" s="40" t="n">
        <f aca="false">IF(C16&gt;C18,1,0)+IF(E16&gt;E18,1,0)+IF(G16&gt;G18,1,0)+IF(I16&gt;I18,1,0)+IF(K16&gt;K18,1,0)</f>
        <v>0</v>
      </c>
      <c r="D6" s="40" t="n">
        <f aca="false">N(C16)+N(E16)+N(G16)+N(I16)+N(K16)</f>
        <v>0</v>
      </c>
      <c r="E6" s="40" t="n">
        <f aca="false">N(C18)+N(E18)+N(G18)+N(I18)+N(K18)</f>
        <v>0</v>
      </c>
      <c r="F6" s="40" t="n">
        <f aca="false">D6-E6</f>
        <v>0</v>
      </c>
      <c r="G6" s="40" t="n">
        <f aca="false">RANK(C6,$C$6:$C$11)+SUMPRODUCT(($C$6:$C$11=C6)*($F$6:$F$11&gt;F6))</f>
        <v>1</v>
      </c>
      <c r="H6" s="40" t="n">
        <f aca="false">IF(N(C16)+N(C18)&gt;0,1,0)+IF(N(E16)+N(E18)&gt;0,1,0)+IF(N(G16)+N(G18)&gt;0,1,0)+IF(N(I16)+N(I18)&gt;0,1,0)+IF(N(K16)+N(K18)&gt;0,1,0)</f>
        <v>0</v>
      </c>
    </row>
    <row r="7" customFormat="false" ht="15" hidden="false" customHeight="false" outlineLevel="0" collapsed="false">
      <c r="A7" s="39" t="s">
        <v>424</v>
      </c>
      <c r="B7" s="50" t="s">
        <v>425</v>
      </c>
      <c r="C7" s="40" t="n">
        <f aca="false">IF(K18&gt;K16,1,0)+IF(C20&gt;C22,1,0)+IF(I22&gt;I20,1,0)+IF(E24&gt;E26,1,0)+IF(G26&gt;G24,1,0)</f>
        <v>0</v>
      </c>
      <c r="D7" s="40" t="n">
        <f aca="false">N(K18)+N(C20)+N(I22)+N(E24)+N(G26)</f>
        <v>0</v>
      </c>
      <c r="E7" s="40" t="n">
        <f aca="false">N(K16)+N(C22)+N(I20)+N(E26)+N(G24)</f>
        <v>0</v>
      </c>
      <c r="F7" s="40" t="n">
        <f aca="false">D7-E7</f>
        <v>0</v>
      </c>
      <c r="G7" s="40" t="n">
        <f aca="false">RANK(C7,$C$6:$C$11)+SUMPRODUCT(($C$6:$C$11=C7)*($F$6:$F$11&gt;F7))</f>
        <v>1</v>
      </c>
      <c r="H7" s="40" t="n">
        <f aca="false">IF(N(K18)+N(K16)&gt;0,1,0)+IF(N(C20)+N(C22)&gt;0,1,0)+IF(N(I22)+N(I20)&gt;0,1,0)+IF(N(E24)+N(E26)&gt;0,1,0)+IF(N(G26)+N(G24)&gt;0,1,0)</f>
        <v>0</v>
      </c>
    </row>
    <row r="8" customFormat="false" ht="15" hidden="false" customHeight="false" outlineLevel="0" collapsed="false">
      <c r="A8" s="39" t="s">
        <v>426</v>
      </c>
      <c r="B8" s="50" t="s">
        <v>427</v>
      </c>
      <c r="C8" s="40" t="n">
        <f aca="false">IF(I18&gt;I16,1,0)+IF(G22&gt;G20,1,0)+IF(K20&gt;K22,1,0)+IF(C24&gt;C26,1,0)+IF(E26&gt;E24,1,0)</f>
        <v>0</v>
      </c>
      <c r="D8" s="40" t="n">
        <f aca="false">N(I18)+N(G22)+N(K20)+N(C24)+N(E26)</f>
        <v>0</v>
      </c>
      <c r="E8" s="40" t="n">
        <f aca="false">N(I16)+N(G20)+N(K22)+N(C26)+N(E24)</f>
        <v>0</v>
      </c>
      <c r="F8" s="40" t="n">
        <f aca="false">D8-E8</f>
        <v>0</v>
      </c>
      <c r="G8" s="40" t="n">
        <f aca="false">RANK(C8,$C$6:$C$11)+SUMPRODUCT(($C$6:$C$11=C8)*($F$6:$F$11&gt;F8))</f>
        <v>1</v>
      </c>
      <c r="H8" s="40" t="n">
        <f aca="false">IF(N(I18)+N(I16)&gt;0,1,0)+IF(N(G22)+N(G20)&gt;0,1,0)+IF(N(K20)+N(K22)&gt;0,1,0)+IF(N(C24)+N(C26)&gt;0,1,0)+IF(N(E26)+N(E24)&gt;0,1,0)</f>
        <v>0</v>
      </c>
    </row>
    <row r="9" customFormat="false" ht="15" hidden="false" customHeight="false" outlineLevel="0" collapsed="false">
      <c r="A9" s="39" t="s">
        <v>432</v>
      </c>
      <c r="B9" s="50" t="s">
        <v>433</v>
      </c>
      <c r="C9" s="40" t="n">
        <f aca="false">IF(G18&gt;G16,1,0)+IF(E22&gt;E20,1,0)+IF(I20&gt;I22,1,0)+IF(C26&gt;C24,1,0)+IF(K24&gt;K26,1,0)</f>
        <v>0</v>
      </c>
      <c r="D9" s="40" t="n">
        <f aca="false">N(G18)+N(E22)+N(I20)+N(C26)+N(K24)</f>
        <v>0</v>
      </c>
      <c r="E9" s="40" t="n">
        <f aca="false">N(G16)+N(E20)+N(I22)+N(C24)+N(K26)</f>
        <v>0</v>
      </c>
      <c r="F9" s="40" t="n">
        <f aca="false">D9-E9</f>
        <v>0</v>
      </c>
      <c r="G9" s="40" t="n">
        <f aca="false">RANK(C9,$C$6:$C$11)+SUMPRODUCT(($C$6:$C$11=C9)*($F$6:$F$11&gt;F9))</f>
        <v>1</v>
      </c>
      <c r="H9" s="40" t="n">
        <f aca="false">IF(N(G18)+N(G16)&gt;0,1,0)+IF(N(E22)+N(E20)&gt;0,1,0)+IF(N(I20)+N(I22)&gt;0,1,0)+IF(N(C26)+N(C24)&gt;0,1,0)+IF(N(K24)+N(K26)&gt;0,1,0)</f>
        <v>0</v>
      </c>
    </row>
    <row r="10" customFormat="false" ht="15" hidden="false" customHeight="false" outlineLevel="0" collapsed="false">
      <c r="A10" s="39" t="s">
        <v>437</v>
      </c>
      <c r="B10" s="50" t="s">
        <v>438</v>
      </c>
      <c r="C10" s="40" t="n">
        <f aca="false">IF(E18&gt;E16,1,0)+IF(C22&gt;C20,1,0)+IF(G20&gt;G22,1,0)+IF(I24&gt;I26,1,0)+IF(K26&gt;K24,1,0)</f>
        <v>0</v>
      </c>
      <c r="D10" s="40" t="n">
        <f aca="false">N(E18)+N(C22)+N(G20)+N(I24)+N(K26)</f>
        <v>0</v>
      </c>
      <c r="E10" s="40" t="n">
        <f aca="false">N(E16)+N(C20)+N(G22)+N(I26)+N(K24)</f>
        <v>0</v>
      </c>
      <c r="F10" s="40" t="n">
        <f aca="false">D10-E10</f>
        <v>0</v>
      </c>
      <c r="G10" s="40" t="n">
        <f aca="false">RANK(C10,$C$6:$C$11)+SUMPRODUCT(($C$6:$C$11=C10)*($F$6:$F$11&gt;F10))</f>
        <v>1</v>
      </c>
      <c r="H10" s="40" t="n">
        <f aca="false">IF(N(E18)+N(E16)&gt;0,1,0)+IF(N(C22)+N(C20)&gt;0,1,0)+IF(N(G20)+N(G22)&gt;0,1,0)+IF(N(I24)+N(I26)&gt;0,1,0)+IF(N(K26)+N(K24)&gt;0,1,0)</f>
        <v>0</v>
      </c>
    </row>
    <row r="11" customFormat="false" ht="15" hidden="false" customHeight="false" outlineLevel="0" collapsed="false">
      <c r="A11" s="39" t="s">
        <v>441</v>
      </c>
      <c r="B11" s="50" t="s">
        <v>442</v>
      </c>
      <c r="C11" s="40" t="n">
        <f aca="false">IF(C18&gt;C16,1,0)+IF(E20&gt;E22,1,0)+IF(K22&gt;K20,1,0)+IF(G24&gt;G26,1,0)+IF(I26&gt;I24,1,0)</f>
        <v>0</v>
      </c>
      <c r="D11" s="40" t="n">
        <f aca="false">N(C18)+N(E20)+N(K22)+N(G24)+N(I26)</f>
        <v>0</v>
      </c>
      <c r="E11" s="40" t="n">
        <f aca="false">N(C16)+N(E22)+N(K20)+N(G26)+N(I24)</f>
        <v>0</v>
      </c>
      <c r="F11" s="40" t="n">
        <f aca="false">D11-E11</f>
        <v>0</v>
      </c>
      <c r="G11" s="40" t="n">
        <f aca="false">RANK(C11,$C$6:$C$11)+SUMPRODUCT(($C$6:$C$11=C11)*($F$6:$F$11&gt;F11))</f>
        <v>1</v>
      </c>
      <c r="H11" s="40" t="n">
        <f aca="false">IF(N(C18)+N(C16)&gt;0,1,0)+IF(N(E20)+N(E22)&gt;0,1,0)+IF(N(K22)+N(K20)&gt;0,1,0)+IF(N(G24)+N(G26)&gt;0,1,0)+IF(N(I26)+N(I24)&gt;0,1,0)</f>
        <v>0</v>
      </c>
    </row>
    <row r="13" customFormat="false" ht="15" hidden="false" customHeight="true" outlineLevel="0" collapsed="false">
      <c r="A13" s="18" t="s">
        <v>358</v>
      </c>
      <c r="B13" s="18"/>
      <c r="C13" s="18"/>
      <c r="D13" s="18"/>
      <c r="E13" s="18"/>
      <c r="F13" s="18"/>
      <c r="G13" s="18"/>
      <c r="H13" s="18"/>
      <c r="I13" s="18"/>
      <c r="J13" s="18"/>
      <c r="K13" s="18"/>
    </row>
    <row r="14" customFormat="false" ht="21.75" hidden="false" customHeight="true" outlineLevel="0" collapsed="false">
      <c r="A14" s="38" t="s">
        <v>428</v>
      </c>
      <c r="B14" s="51" t="s">
        <v>360</v>
      </c>
      <c r="C14" s="51"/>
      <c r="D14" s="51" t="s">
        <v>361</v>
      </c>
      <c r="E14" s="51"/>
      <c r="F14" s="51" t="s">
        <v>362</v>
      </c>
      <c r="G14" s="51"/>
      <c r="H14" s="51" t="s">
        <v>363</v>
      </c>
      <c r="I14" s="51"/>
      <c r="J14" s="51" t="s">
        <v>364</v>
      </c>
      <c r="K14" s="51"/>
    </row>
    <row r="15" customFormat="false" ht="21.75" hidden="false" customHeight="true" outlineLevel="0" collapsed="false">
      <c r="A15" s="42" t="s">
        <v>429</v>
      </c>
    </row>
    <row r="16" customFormat="false" ht="21.75" hidden="false" customHeight="true" outlineLevel="0" collapsed="false">
      <c r="A16" s="43" t="s">
        <v>367</v>
      </c>
      <c r="B16" s="29" t="str">
        <f aca="false">A6</f>
        <v>Team 1</v>
      </c>
      <c r="C16" s="46"/>
      <c r="D16" s="29" t="str">
        <f aca="false">A6</f>
        <v>Team 1</v>
      </c>
      <c r="E16" s="46"/>
      <c r="F16" s="29" t="str">
        <f aca="false">A6</f>
        <v>Team 1</v>
      </c>
      <c r="G16" s="46"/>
      <c r="H16" s="29" t="str">
        <f aca="false">A6</f>
        <v>Team 1</v>
      </c>
      <c r="I16" s="46"/>
      <c r="J16" s="29" t="str">
        <f aca="false">A6</f>
        <v>Team 1</v>
      </c>
      <c r="K16" s="46"/>
    </row>
    <row r="17" customFormat="false" ht="18" hidden="false" customHeight="true" outlineLevel="0" collapsed="false">
      <c r="A17" s="47" t="s">
        <v>368</v>
      </c>
      <c r="B17" s="47" t="s">
        <v>369</v>
      </c>
      <c r="C17" s="44"/>
      <c r="D17" s="47" t="s">
        <v>369</v>
      </c>
      <c r="E17" s="44"/>
      <c r="F17" s="47" t="s">
        <v>369</v>
      </c>
      <c r="G17" s="44"/>
      <c r="H17" s="47" t="s">
        <v>369</v>
      </c>
      <c r="I17" s="44"/>
      <c r="J17" s="47" t="s">
        <v>369</v>
      </c>
      <c r="K17" s="44"/>
    </row>
    <row r="18" customFormat="false" ht="21.75" hidden="false" customHeight="true" outlineLevel="0" collapsed="false">
      <c r="A18" s="43" t="s">
        <v>370</v>
      </c>
      <c r="B18" s="29" t="str">
        <f aca="false">A11</f>
        <v>Team 6</v>
      </c>
      <c r="C18" s="46"/>
      <c r="D18" s="29" t="str">
        <f aca="false">A10</f>
        <v>Team 5</v>
      </c>
      <c r="E18" s="46"/>
      <c r="F18" s="29" t="str">
        <f aca="false">A9</f>
        <v>Team 4</v>
      </c>
      <c r="G18" s="46"/>
      <c r="H18" s="29" t="str">
        <f aca="false">A8</f>
        <v>Team 3</v>
      </c>
      <c r="I18" s="46"/>
      <c r="J18" s="29" t="str">
        <f aca="false">A7</f>
        <v>Team 2</v>
      </c>
      <c r="K18" s="46"/>
    </row>
    <row r="19" customFormat="false" ht="21.75" hidden="false" customHeight="true" outlineLevel="0" collapsed="false">
      <c r="A19" s="42" t="s">
        <v>434</v>
      </c>
    </row>
    <row r="20" customFormat="false" ht="21.75" hidden="false" customHeight="true" outlineLevel="0" collapsed="false">
      <c r="A20" s="43" t="s">
        <v>367</v>
      </c>
      <c r="B20" s="29" t="str">
        <f aca="false">A7</f>
        <v>Team 2</v>
      </c>
      <c r="C20" s="46"/>
      <c r="D20" s="29" t="str">
        <f aca="false">A11</f>
        <v>Team 6</v>
      </c>
      <c r="E20" s="46"/>
      <c r="F20" s="29" t="str">
        <f aca="false">A10</f>
        <v>Team 5</v>
      </c>
      <c r="G20" s="46"/>
      <c r="H20" s="29" t="str">
        <f aca="false">A9</f>
        <v>Team 4</v>
      </c>
      <c r="I20" s="46"/>
      <c r="J20" s="29" t="str">
        <f aca="false">A8</f>
        <v>Team 3</v>
      </c>
      <c r="K20" s="46"/>
    </row>
    <row r="21" customFormat="false" ht="18" hidden="false" customHeight="true" outlineLevel="0" collapsed="false">
      <c r="A21" s="47" t="s">
        <v>368</v>
      </c>
      <c r="B21" s="47" t="s">
        <v>369</v>
      </c>
      <c r="C21" s="44"/>
      <c r="D21" s="47" t="s">
        <v>369</v>
      </c>
      <c r="E21" s="44"/>
      <c r="F21" s="47" t="s">
        <v>369</v>
      </c>
      <c r="G21" s="44"/>
      <c r="H21" s="47" t="s">
        <v>369</v>
      </c>
      <c r="I21" s="44"/>
      <c r="J21" s="47" t="s">
        <v>369</v>
      </c>
      <c r="K21" s="44"/>
    </row>
    <row r="22" customFormat="false" ht="21.75" hidden="false" customHeight="true" outlineLevel="0" collapsed="false">
      <c r="A22" s="43" t="s">
        <v>370</v>
      </c>
      <c r="B22" s="29" t="str">
        <f aca="false">A10</f>
        <v>Team 5</v>
      </c>
      <c r="C22" s="46"/>
      <c r="D22" s="29" t="str">
        <f aca="false">A9</f>
        <v>Team 4</v>
      </c>
      <c r="E22" s="46"/>
      <c r="F22" s="29" t="str">
        <f aca="false">A8</f>
        <v>Team 3</v>
      </c>
      <c r="G22" s="46"/>
      <c r="H22" s="29" t="str">
        <f aca="false">A7</f>
        <v>Team 2</v>
      </c>
      <c r="I22" s="46"/>
      <c r="J22" s="29" t="str">
        <f aca="false">A11</f>
        <v>Team 6</v>
      </c>
      <c r="K22" s="46"/>
    </row>
    <row r="23" customFormat="false" ht="21.75" hidden="false" customHeight="true" outlineLevel="0" collapsed="false">
      <c r="A23" s="42" t="s">
        <v>443</v>
      </c>
    </row>
    <row r="24" customFormat="false" ht="21.75" hidden="false" customHeight="true" outlineLevel="0" collapsed="false">
      <c r="A24" s="43" t="s">
        <v>367</v>
      </c>
      <c r="B24" s="29" t="str">
        <f aca="false">A8</f>
        <v>Team 3</v>
      </c>
      <c r="C24" s="46"/>
      <c r="D24" s="29" t="str">
        <f aca="false">A7</f>
        <v>Team 2</v>
      </c>
      <c r="E24" s="46"/>
      <c r="F24" s="29" t="str">
        <f aca="false">A11</f>
        <v>Team 6</v>
      </c>
      <c r="G24" s="46"/>
      <c r="H24" s="29" t="str">
        <f aca="false">A10</f>
        <v>Team 5</v>
      </c>
      <c r="I24" s="46"/>
      <c r="J24" s="29" t="str">
        <f aca="false">A9</f>
        <v>Team 4</v>
      </c>
      <c r="K24" s="46"/>
    </row>
    <row r="25" customFormat="false" ht="18" hidden="false" customHeight="true" outlineLevel="0" collapsed="false">
      <c r="A25" s="47" t="s">
        <v>368</v>
      </c>
      <c r="B25" s="47" t="s">
        <v>369</v>
      </c>
      <c r="C25" s="44"/>
      <c r="D25" s="47" t="s">
        <v>369</v>
      </c>
      <c r="E25" s="44"/>
      <c r="F25" s="47" t="s">
        <v>369</v>
      </c>
      <c r="G25" s="44"/>
      <c r="H25" s="47" t="s">
        <v>369</v>
      </c>
      <c r="I25" s="44"/>
      <c r="J25" s="47" t="s">
        <v>369</v>
      </c>
      <c r="K25" s="44"/>
    </row>
    <row r="26" customFormat="false" ht="21.75" hidden="false" customHeight="true" outlineLevel="0" collapsed="false">
      <c r="A26" s="43" t="s">
        <v>370</v>
      </c>
      <c r="B26" s="29" t="str">
        <f aca="false">A9</f>
        <v>Team 4</v>
      </c>
      <c r="C26" s="46"/>
      <c r="D26" s="29" t="str">
        <f aca="false">A8</f>
        <v>Team 3</v>
      </c>
      <c r="E26" s="46"/>
      <c r="F26" s="29" t="str">
        <f aca="false">A7</f>
        <v>Team 2</v>
      </c>
      <c r="G26" s="46"/>
      <c r="H26" s="29" t="str">
        <f aca="false">A11</f>
        <v>Team 6</v>
      </c>
      <c r="I26" s="46"/>
      <c r="J26" s="29" t="str">
        <f aca="false">A10</f>
        <v>Team 5</v>
      </c>
      <c r="K26" s="46"/>
    </row>
  </sheetData>
  <mergeCells count="9">
    <mergeCell ref="A1:K1"/>
    <mergeCell ref="A2:K2"/>
    <mergeCell ref="A4:H4"/>
    <mergeCell ref="A13:K13"/>
    <mergeCell ref="B14:C14"/>
    <mergeCell ref="D14:E14"/>
    <mergeCell ref="F14:G14"/>
    <mergeCell ref="H14:I14"/>
    <mergeCell ref="J14:K1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2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3" topLeftCell="A1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22"/>
    <col collapsed="false" customWidth="true" hidden="false" outlineLevel="0" max="3" min="3" style="0" width="7"/>
    <col collapsed="false" customWidth="true" hidden="false" outlineLevel="0" max="4" min="4" style="0" width="14"/>
    <col collapsed="false" customWidth="true" hidden="false" outlineLevel="0" max="5" min="5" style="0" width="7"/>
    <col collapsed="false" customWidth="true" hidden="false" outlineLevel="0" max="6" min="6" style="0" width="14"/>
    <col collapsed="false" customWidth="true" hidden="false" outlineLevel="0" max="7" min="7" style="0" width="7"/>
    <col collapsed="false" customWidth="true" hidden="false" outlineLevel="0" max="8" min="8" style="0" width="14"/>
    <col collapsed="false" customWidth="true" hidden="false" outlineLevel="0" max="9" min="9" style="0" width="7"/>
    <col collapsed="false" customWidth="true" hidden="false" outlineLevel="0" max="10" min="10" style="0" width="14"/>
    <col collapsed="false" customWidth="true" hidden="false" outlineLevel="0" max="11" min="11" style="0" width="7"/>
    <col collapsed="false" customWidth="true" hidden="false" outlineLevel="0" max="12" min="12" style="0" width="14"/>
    <col collapsed="false" customWidth="true" hidden="false" outlineLevel="0" max="13" min="13" style="0" width="7"/>
    <col collapsed="false" customWidth="true" hidden="false" outlineLevel="0" max="14" min="14" style="0" width="14"/>
    <col collapsed="false" customWidth="true" hidden="false" outlineLevel="0" max="15" min="15" style="0" width="7"/>
  </cols>
  <sheetData>
    <row r="1" customFormat="false" ht="22.05" hidden="false" customHeight="false" outlineLevel="0" collapsed="false">
      <c r="A1" s="36" t="s">
        <v>444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</row>
    <row r="2" customFormat="false" ht="15" hidden="false" customHeight="false" outlineLevel="0" collapsed="false">
      <c r="A2" s="37" t="s">
        <v>445</v>
      </c>
      <c r="B2" s="37"/>
      <c r="C2" s="37"/>
      <c r="D2" s="37"/>
      <c r="E2" s="37"/>
      <c r="F2" s="37"/>
      <c r="G2" s="37"/>
      <c r="H2" s="37"/>
      <c r="I2" s="37"/>
      <c r="J2" s="37"/>
      <c r="K2" s="37"/>
      <c r="L2" s="37"/>
      <c r="M2" s="37"/>
      <c r="N2" s="37"/>
      <c r="O2" s="37"/>
    </row>
    <row r="4" customFormat="false" ht="15" hidden="false" customHeight="true" outlineLevel="0" collapsed="false">
      <c r="A4" s="18" t="s">
        <v>420</v>
      </c>
      <c r="B4" s="18"/>
      <c r="C4" s="18"/>
      <c r="D4" s="18"/>
      <c r="E4" s="18"/>
      <c r="F4" s="18"/>
      <c r="G4" s="18"/>
      <c r="H4" s="18"/>
    </row>
    <row r="5" customFormat="false" ht="21.75" hidden="false" customHeight="true" outlineLevel="0" collapsed="false">
      <c r="A5" s="38" t="s">
        <v>421</v>
      </c>
      <c r="B5" s="38" t="s">
        <v>30</v>
      </c>
      <c r="C5" s="38" t="s">
        <v>348</v>
      </c>
      <c r="D5" s="38" t="s">
        <v>349</v>
      </c>
      <c r="E5" s="38" t="s">
        <v>350</v>
      </c>
      <c r="F5" s="38" t="s">
        <v>351</v>
      </c>
      <c r="G5" s="38" t="s">
        <v>352</v>
      </c>
      <c r="H5" s="38" t="s">
        <v>353</v>
      </c>
    </row>
    <row r="6" customFormat="false" ht="15" hidden="false" customHeight="false" outlineLevel="0" collapsed="false">
      <c r="A6" s="39" t="s">
        <v>422</v>
      </c>
      <c r="B6" s="50" t="s">
        <v>423</v>
      </c>
      <c r="C6" s="40" t="n">
        <f aca="false">IF(E17&gt;E19,1,0)+IF(G17&gt;G19,1,0)+IF(I17&gt;I19,1,0)+IF(K17&gt;K19,1,0)+IF(M17&gt;M19,1,0)+IF(O17&gt;O19,1,0)</f>
        <v>0</v>
      </c>
      <c r="D6" s="40" t="n">
        <f aca="false">N(E17)+N(G17)+N(I17)+N(K17)+N(M17)+N(O17)</f>
        <v>0</v>
      </c>
      <c r="E6" s="40" t="n">
        <f aca="false">N(E19)+N(G19)+N(I19)+N(K19)+N(M19)+N(O19)</f>
        <v>0</v>
      </c>
      <c r="F6" s="40" t="n">
        <f aca="false">D6-E6</f>
        <v>0</v>
      </c>
      <c r="G6" s="40" t="n">
        <f aca="false">RANK(C6,$C$6:$C$12)+SUMPRODUCT(($C$6:$C$12=C6)*($F$6:$F$12&gt;F6))</f>
        <v>1</v>
      </c>
      <c r="H6" s="40" t="n">
        <f aca="false">IF(N(E17)+N(E19)&gt;0,1,0)+IF(N(G17)+N(G19)&gt;0,1,0)+IF(N(I17)+N(I19)&gt;0,1,0)+IF(N(K17)+N(K19)&gt;0,1,0)+IF(N(M17)+N(M19)&gt;0,1,0)+IF(N(O17)+N(O19)&gt;0,1,0)</f>
        <v>0</v>
      </c>
    </row>
    <row r="7" customFormat="false" ht="15" hidden="false" customHeight="false" outlineLevel="0" collapsed="false">
      <c r="A7" s="39" t="s">
        <v>424</v>
      </c>
      <c r="B7" s="50" t="s">
        <v>425</v>
      </c>
      <c r="C7" s="40" t="n">
        <f aca="false">IF(C17&gt;C19,1,0)+IF(O19&gt;O17,1,0)+IF(E21&gt;E23,1,0)+IF(M23&gt;M21,1,0)+IF(G25&gt;G27,1,0)+IF(K27&gt;K25,1,0)</f>
        <v>0</v>
      </c>
      <c r="D7" s="40" t="n">
        <f aca="false">N(C17)+N(O19)+N(E21)+N(M23)+N(G25)+N(K27)</f>
        <v>0</v>
      </c>
      <c r="E7" s="40" t="n">
        <f aca="false">N(C19)+N(O17)+N(E23)+N(M21)+N(G27)+N(K25)</f>
        <v>0</v>
      </c>
      <c r="F7" s="40" t="n">
        <f aca="false">D7-E7</f>
        <v>0</v>
      </c>
      <c r="G7" s="40" t="n">
        <f aca="false">RANK(C7,$C$6:$C$12)+SUMPRODUCT(($C$6:$C$12=C7)*($F$6:$F$12&gt;F7))</f>
        <v>1</v>
      </c>
      <c r="H7" s="40" t="n">
        <f aca="false">IF(N(C17)+N(C19)&gt;0,1,0)+IF(N(O19)+N(O17)&gt;0,1,0)+IF(N(E21)+N(E23)&gt;0,1,0)+IF(N(M23)+N(M21)&gt;0,1,0)+IF(N(G25)+N(G27)&gt;0,1,0)+IF(N(K27)+N(K25)&gt;0,1,0)</f>
        <v>0</v>
      </c>
    </row>
    <row r="8" customFormat="false" ht="15" hidden="false" customHeight="false" outlineLevel="0" collapsed="false">
      <c r="A8" s="39" t="s">
        <v>426</v>
      </c>
      <c r="B8" s="50" t="s">
        <v>427</v>
      </c>
      <c r="C8" s="40" t="n">
        <f aca="false">IF(M19&gt;M17,1,0)+IF(C21&gt;C23,1,0)+IF(K23&gt;K21,1,0)+IF(E25&gt;E27,1,0)+IF(G27&gt;G25,1,0)+IF(I27&gt;I25,1,0)</f>
        <v>0</v>
      </c>
      <c r="D8" s="40" t="n">
        <f aca="false">N(M19)+N(C21)+N(K23)+N(E25)+N(G27)+N(I27)</f>
        <v>0</v>
      </c>
      <c r="E8" s="40" t="n">
        <f aca="false">N(M17)+N(C23)+N(K21)+N(E27)+N(G25)+N(I25)</f>
        <v>0</v>
      </c>
      <c r="F8" s="40" t="n">
        <f aca="false">D8-E8</f>
        <v>0</v>
      </c>
      <c r="G8" s="40" t="n">
        <f aca="false">RANK(C8,$C$6:$C$12)+SUMPRODUCT(($C$6:$C$12=C8)*($F$6:$F$12&gt;F8))</f>
        <v>1</v>
      </c>
      <c r="H8" s="40" t="n">
        <f aca="false">IF(N(M19)+N(M17)&gt;0,1,0)+IF(N(C21)+N(C23)&gt;0,1,0)+IF(N(K23)+N(K21)&gt;0,1,0)+IF(N(E25)+N(E27)&gt;0,1,0)+IF(N(G27)+N(G25)&gt;0,1,0)+IF(N(I27)+N(I25)&gt;0,1,0)</f>
        <v>0</v>
      </c>
    </row>
    <row r="9" customFormat="false" ht="15" hidden="false" customHeight="false" outlineLevel="0" collapsed="false">
      <c r="A9" s="39" t="s">
        <v>432</v>
      </c>
      <c r="B9" s="50" t="s">
        <v>433</v>
      </c>
      <c r="C9" s="40" t="n">
        <f aca="false">IF(K19&gt;K17,1,0)+IF(I23&gt;I21,1,0)+IF(M21&gt;M23,1,0)+IF(O21&gt;O23,1,0)+IF(C25&gt;C27,1,0)+IF(E27&gt;E25,1,0)</f>
        <v>0</v>
      </c>
      <c r="D9" s="40" t="n">
        <f aca="false">N(K19)+N(I23)+N(M21)+N(O21)+N(C25)+N(E27)</f>
        <v>0</v>
      </c>
      <c r="E9" s="40" t="n">
        <f aca="false">N(K17)+N(I21)+N(M23)+N(O23)+N(C27)+N(E25)</f>
        <v>0</v>
      </c>
      <c r="F9" s="40" t="n">
        <f aca="false">D9-E9</f>
        <v>0</v>
      </c>
      <c r="G9" s="40" t="n">
        <f aca="false">RANK(C9,$C$6:$C$12)+SUMPRODUCT(($C$6:$C$12=C9)*($F$6:$F$12&gt;F9))</f>
        <v>1</v>
      </c>
      <c r="H9" s="40" t="n">
        <f aca="false">IF(N(K19)+N(K17)&gt;0,1,0)+IF(N(I23)+N(I21)&gt;0,1,0)+IF(N(M21)+N(M23)&gt;0,1,0)+IF(N(O21)+N(O23)&gt;0,1,0)+IF(N(C25)+N(C27)&gt;0,1,0)+IF(N(E27)+N(E25)&gt;0,1,0)</f>
        <v>0</v>
      </c>
    </row>
    <row r="10" customFormat="false" ht="15" hidden="false" customHeight="false" outlineLevel="0" collapsed="false">
      <c r="A10" s="39" t="s">
        <v>437</v>
      </c>
      <c r="B10" s="50" t="s">
        <v>438</v>
      </c>
      <c r="C10" s="40" t="n">
        <f aca="false">IF(I19&gt;I17,1,0)+IF(E23&gt;E21,1,0)+IF(G23&gt;G21,1,0)+IF(K21&gt;K23,1,0)+IF(C27&gt;C25,1,0)+IF(O25&gt;O27,1,0)</f>
        <v>0</v>
      </c>
      <c r="D10" s="40" t="n">
        <f aca="false">N(I19)+N(E23)+N(G23)+N(K21)+N(C27)+N(O25)</f>
        <v>0</v>
      </c>
      <c r="E10" s="40" t="n">
        <f aca="false">N(I17)+N(E21)+N(G21)+N(K23)+N(C25)+N(O27)</f>
        <v>0</v>
      </c>
      <c r="F10" s="40" t="n">
        <f aca="false">D10-E10</f>
        <v>0</v>
      </c>
      <c r="G10" s="40" t="n">
        <f aca="false">RANK(C10,$C$6:$C$12)+SUMPRODUCT(($C$6:$C$12=C10)*($F$6:$F$12&gt;F10))</f>
        <v>1</v>
      </c>
      <c r="H10" s="40" t="n">
        <f aca="false">IF(N(I19)+N(I17)&gt;0,1,0)+IF(N(E23)+N(E21)&gt;0,1,0)+IF(N(G23)+N(G21)&gt;0,1,0)+IF(N(K21)+N(K23)&gt;0,1,0)+IF(N(C27)+N(C25)&gt;0,1,0)+IF(N(O25)+N(O27)&gt;0,1,0)</f>
        <v>0</v>
      </c>
    </row>
    <row r="11" customFormat="false" ht="15" hidden="false" customHeight="false" outlineLevel="0" collapsed="false">
      <c r="A11" s="39" t="s">
        <v>441</v>
      </c>
      <c r="B11" s="50" t="s">
        <v>442</v>
      </c>
      <c r="C11" s="40" t="n">
        <f aca="false">IF(G19&gt;G17,1,0)+IF(C23&gt;C21,1,0)+IF(I21&gt;I23,1,0)+IF(K25&gt;K27,1,0)+IF(M25&gt;M27,1,0)+IF(O27&gt;O25,1,0)</f>
        <v>0</v>
      </c>
      <c r="D11" s="40" t="n">
        <f aca="false">N(G19)+N(C23)+N(I21)+N(K25)+N(M25)+N(O27)</f>
        <v>0</v>
      </c>
      <c r="E11" s="40" t="n">
        <f aca="false">N(G17)+N(C21)+N(I23)+N(K27)+N(M27)+N(O25)</f>
        <v>0</v>
      </c>
      <c r="F11" s="40" t="n">
        <f aca="false">D11-E11</f>
        <v>0</v>
      </c>
      <c r="G11" s="40" t="n">
        <f aca="false">RANK(C11,$C$6:$C$12)+SUMPRODUCT(($C$6:$C$12=C11)*($F$6:$F$12&gt;F11))</f>
        <v>1</v>
      </c>
      <c r="H11" s="40" t="n">
        <f aca="false">IF(N(G19)+N(G17)&gt;0,1,0)+IF(N(C23)+N(C21)&gt;0,1,0)+IF(N(I21)+N(I23)&gt;0,1,0)+IF(N(K25)+N(K27)&gt;0,1,0)+IF(N(M25)+N(M27)&gt;0,1,0)+IF(N(O27)+N(O25)&gt;0,1,0)</f>
        <v>0</v>
      </c>
    </row>
    <row r="12" customFormat="false" ht="15" hidden="false" customHeight="false" outlineLevel="0" collapsed="false">
      <c r="A12" s="39" t="s">
        <v>446</v>
      </c>
      <c r="B12" s="50" t="s">
        <v>447</v>
      </c>
      <c r="C12" s="40" t="n">
        <f aca="false">IF(C19&gt;C17,1,0)+IF(E19&gt;E17,1,0)+IF(G21&gt;G23,1,0)+IF(O23&gt;O21,1,0)+IF(I25&gt;I27,1,0)+IF(M27&gt;M25,1,0)</f>
        <v>0</v>
      </c>
      <c r="D12" s="40" t="n">
        <f aca="false">N(C19)+N(E19)+N(G21)+N(O23)+N(I25)+N(M27)</f>
        <v>0</v>
      </c>
      <c r="E12" s="40" t="n">
        <f aca="false">N(C17)+N(E17)+N(G23)+N(O21)+N(I27)+N(M25)</f>
        <v>0</v>
      </c>
      <c r="F12" s="40" t="n">
        <f aca="false">D12-E12</f>
        <v>0</v>
      </c>
      <c r="G12" s="40" t="n">
        <f aca="false">RANK(C12,$C$6:$C$12)+SUMPRODUCT(($C$6:$C$12=C12)*($F$6:$F$12&gt;F12))</f>
        <v>1</v>
      </c>
      <c r="H12" s="40" t="n">
        <f aca="false">IF(N(C19)+N(C17)&gt;0,1,0)+IF(N(E19)+N(E17)&gt;0,1,0)+IF(N(G21)+N(G23)&gt;0,1,0)+IF(N(O23)+N(O21)&gt;0,1,0)+IF(N(I25)+N(I27)&gt;0,1,0)+IF(N(M27)+N(M25)&gt;0,1,0)</f>
        <v>0</v>
      </c>
    </row>
    <row r="14" customFormat="false" ht="15" hidden="false" customHeight="true" outlineLevel="0" collapsed="false">
      <c r="A14" s="18" t="s">
        <v>358</v>
      </c>
      <c r="B14" s="18"/>
      <c r="C14" s="18"/>
      <c r="D14" s="18"/>
      <c r="E14" s="18"/>
      <c r="F14" s="18"/>
      <c r="G14" s="18"/>
      <c r="H14" s="18"/>
      <c r="I14" s="18"/>
      <c r="J14" s="18"/>
      <c r="K14" s="18"/>
      <c r="L14" s="18"/>
      <c r="M14" s="18"/>
      <c r="N14" s="18"/>
      <c r="O14" s="18"/>
    </row>
    <row r="15" customFormat="false" ht="21.75" hidden="false" customHeight="true" outlineLevel="0" collapsed="false">
      <c r="A15" s="38" t="s">
        <v>428</v>
      </c>
      <c r="B15" s="51" t="s">
        <v>360</v>
      </c>
      <c r="C15" s="51"/>
      <c r="D15" s="51" t="s">
        <v>361</v>
      </c>
      <c r="E15" s="51"/>
      <c r="F15" s="51" t="s">
        <v>362</v>
      </c>
      <c r="G15" s="51"/>
      <c r="H15" s="51" t="s">
        <v>363</v>
      </c>
      <c r="I15" s="51"/>
      <c r="J15" s="51" t="s">
        <v>364</v>
      </c>
      <c r="K15" s="51"/>
      <c r="L15" s="51" t="s">
        <v>365</v>
      </c>
      <c r="M15" s="51"/>
      <c r="N15" s="51" t="s">
        <v>381</v>
      </c>
      <c r="O15" s="51"/>
    </row>
    <row r="16" customFormat="false" ht="21.75" hidden="false" customHeight="true" outlineLevel="0" collapsed="false">
      <c r="A16" s="42" t="s">
        <v>429</v>
      </c>
    </row>
    <row r="17" customFormat="false" ht="21.75" hidden="false" customHeight="true" outlineLevel="0" collapsed="false">
      <c r="A17" s="43" t="s">
        <v>367</v>
      </c>
      <c r="B17" s="29" t="str">
        <f aca="false">A7</f>
        <v>Team 2</v>
      </c>
      <c r="C17" s="46"/>
      <c r="D17" s="29" t="str">
        <f aca="false">A6</f>
        <v>Team 1</v>
      </c>
      <c r="E17" s="46"/>
      <c r="F17" s="29" t="str">
        <f aca="false">A6</f>
        <v>Team 1</v>
      </c>
      <c r="G17" s="46"/>
      <c r="H17" s="29" t="str">
        <f aca="false">A6</f>
        <v>Team 1</v>
      </c>
      <c r="I17" s="46"/>
      <c r="J17" s="29" t="str">
        <f aca="false">A6</f>
        <v>Team 1</v>
      </c>
      <c r="K17" s="46"/>
      <c r="L17" s="29" t="str">
        <f aca="false">A6</f>
        <v>Team 1</v>
      </c>
      <c r="M17" s="46"/>
      <c r="N17" s="29" t="str">
        <f aca="false">A6</f>
        <v>Team 1</v>
      </c>
      <c r="O17" s="46"/>
    </row>
    <row r="18" customFormat="false" ht="18" hidden="false" customHeight="true" outlineLevel="0" collapsed="false">
      <c r="A18" s="47" t="s">
        <v>368</v>
      </c>
      <c r="B18" s="47" t="s">
        <v>369</v>
      </c>
      <c r="C18" s="44"/>
      <c r="D18" s="47" t="s">
        <v>369</v>
      </c>
      <c r="E18" s="44"/>
      <c r="F18" s="47" t="s">
        <v>369</v>
      </c>
      <c r="G18" s="44"/>
      <c r="H18" s="47" t="s">
        <v>369</v>
      </c>
      <c r="I18" s="44"/>
      <c r="J18" s="47" t="s">
        <v>369</v>
      </c>
      <c r="K18" s="44"/>
      <c r="L18" s="47" t="s">
        <v>369</v>
      </c>
      <c r="M18" s="44"/>
      <c r="N18" s="47" t="s">
        <v>369</v>
      </c>
      <c r="O18" s="44"/>
    </row>
    <row r="19" customFormat="false" ht="21.75" hidden="false" customHeight="true" outlineLevel="0" collapsed="false">
      <c r="A19" s="43" t="s">
        <v>370</v>
      </c>
      <c r="B19" s="29" t="str">
        <f aca="false">A12</f>
        <v>Team 7</v>
      </c>
      <c r="C19" s="46"/>
      <c r="D19" s="29" t="str">
        <f aca="false">A12</f>
        <v>Team 7</v>
      </c>
      <c r="E19" s="46"/>
      <c r="F19" s="29" t="str">
        <f aca="false">A11</f>
        <v>Team 6</v>
      </c>
      <c r="G19" s="46"/>
      <c r="H19" s="29" t="str">
        <f aca="false">A10</f>
        <v>Team 5</v>
      </c>
      <c r="I19" s="46"/>
      <c r="J19" s="29" t="str">
        <f aca="false">A9</f>
        <v>Team 4</v>
      </c>
      <c r="K19" s="46"/>
      <c r="L19" s="29" t="str">
        <f aca="false">A8</f>
        <v>Team 3</v>
      </c>
      <c r="M19" s="46"/>
      <c r="N19" s="29" t="str">
        <f aca="false">A7</f>
        <v>Team 2</v>
      </c>
      <c r="O19" s="46"/>
    </row>
    <row r="20" customFormat="false" ht="21.75" hidden="false" customHeight="true" outlineLevel="0" collapsed="false">
      <c r="A20" s="42" t="s">
        <v>434</v>
      </c>
    </row>
    <row r="21" customFormat="false" ht="21.75" hidden="false" customHeight="true" outlineLevel="0" collapsed="false">
      <c r="A21" s="43" t="s">
        <v>367</v>
      </c>
      <c r="B21" s="29" t="str">
        <f aca="false">A8</f>
        <v>Team 3</v>
      </c>
      <c r="C21" s="46"/>
      <c r="D21" s="29" t="str">
        <f aca="false">A7</f>
        <v>Team 2</v>
      </c>
      <c r="E21" s="46"/>
      <c r="F21" s="29" t="str">
        <f aca="false">A12</f>
        <v>Team 7</v>
      </c>
      <c r="G21" s="46"/>
      <c r="H21" s="29" t="str">
        <f aca="false">A11</f>
        <v>Team 6</v>
      </c>
      <c r="I21" s="46"/>
      <c r="J21" s="29" t="str">
        <f aca="false">A10</f>
        <v>Team 5</v>
      </c>
      <c r="K21" s="46"/>
      <c r="L21" s="29" t="str">
        <f aca="false">A9</f>
        <v>Team 4</v>
      </c>
      <c r="M21" s="46"/>
      <c r="N21" s="29" t="str">
        <f aca="false">A9</f>
        <v>Team 4</v>
      </c>
      <c r="O21" s="46"/>
    </row>
    <row r="22" customFormat="false" ht="18" hidden="false" customHeight="true" outlineLevel="0" collapsed="false">
      <c r="A22" s="47" t="s">
        <v>368</v>
      </c>
      <c r="B22" s="47" t="s">
        <v>369</v>
      </c>
      <c r="C22" s="44"/>
      <c r="D22" s="47" t="s">
        <v>369</v>
      </c>
      <c r="E22" s="44"/>
      <c r="F22" s="47" t="s">
        <v>369</v>
      </c>
      <c r="G22" s="44"/>
      <c r="H22" s="47" t="s">
        <v>369</v>
      </c>
      <c r="I22" s="44"/>
      <c r="J22" s="47" t="s">
        <v>369</v>
      </c>
      <c r="K22" s="44"/>
      <c r="L22" s="47" t="s">
        <v>369</v>
      </c>
      <c r="M22" s="44"/>
      <c r="N22" s="47" t="s">
        <v>369</v>
      </c>
      <c r="O22" s="44"/>
    </row>
    <row r="23" customFormat="false" ht="21.75" hidden="false" customHeight="true" outlineLevel="0" collapsed="false">
      <c r="A23" s="43" t="s">
        <v>370</v>
      </c>
      <c r="B23" s="29" t="str">
        <f aca="false">A11</f>
        <v>Team 6</v>
      </c>
      <c r="C23" s="46"/>
      <c r="D23" s="29" t="str">
        <f aca="false">A10</f>
        <v>Team 5</v>
      </c>
      <c r="E23" s="46"/>
      <c r="F23" s="29" t="str">
        <f aca="false">A10</f>
        <v>Team 5</v>
      </c>
      <c r="G23" s="46"/>
      <c r="H23" s="29" t="str">
        <f aca="false">A9</f>
        <v>Team 4</v>
      </c>
      <c r="I23" s="46"/>
      <c r="J23" s="29" t="str">
        <f aca="false">A8</f>
        <v>Team 3</v>
      </c>
      <c r="K23" s="46"/>
      <c r="L23" s="29" t="str">
        <f aca="false">A7</f>
        <v>Team 2</v>
      </c>
      <c r="M23" s="46"/>
      <c r="N23" s="29" t="str">
        <f aca="false">A12</f>
        <v>Team 7</v>
      </c>
      <c r="O23" s="46"/>
    </row>
    <row r="24" customFormat="false" ht="21.75" hidden="false" customHeight="true" outlineLevel="0" collapsed="false">
      <c r="A24" s="42" t="s">
        <v>443</v>
      </c>
    </row>
    <row r="25" customFormat="false" ht="21.75" hidden="false" customHeight="true" outlineLevel="0" collapsed="false">
      <c r="A25" s="43" t="s">
        <v>367</v>
      </c>
      <c r="B25" s="29" t="str">
        <f aca="false">A9</f>
        <v>Team 4</v>
      </c>
      <c r="C25" s="46"/>
      <c r="D25" s="29" t="str">
        <f aca="false">A8</f>
        <v>Team 3</v>
      </c>
      <c r="E25" s="46"/>
      <c r="F25" s="29" t="str">
        <f aca="false">A7</f>
        <v>Team 2</v>
      </c>
      <c r="G25" s="46"/>
      <c r="H25" s="29" t="str">
        <f aca="false">A12</f>
        <v>Team 7</v>
      </c>
      <c r="I25" s="46"/>
      <c r="J25" s="29" t="str">
        <f aca="false">A11</f>
        <v>Team 6</v>
      </c>
      <c r="K25" s="46"/>
      <c r="L25" s="29" t="str">
        <f aca="false">A11</f>
        <v>Team 6</v>
      </c>
      <c r="M25" s="46"/>
      <c r="N25" s="29" t="str">
        <f aca="false">A10</f>
        <v>Team 5</v>
      </c>
      <c r="O25" s="46"/>
    </row>
    <row r="26" customFormat="false" ht="18" hidden="false" customHeight="true" outlineLevel="0" collapsed="false">
      <c r="A26" s="47" t="s">
        <v>368</v>
      </c>
      <c r="B26" s="47" t="s">
        <v>369</v>
      </c>
      <c r="C26" s="44"/>
      <c r="D26" s="47" t="s">
        <v>369</v>
      </c>
      <c r="E26" s="44"/>
      <c r="F26" s="47" t="s">
        <v>369</v>
      </c>
      <c r="G26" s="44"/>
      <c r="H26" s="47" t="s">
        <v>369</v>
      </c>
      <c r="I26" s="44"/>
      <c r="J26" s="47" t="s">
        <v>369</v>
      </c>
      <c r="K26" s="44"/>
      <c r="L26" s="47" t="s">
        <v>369</v>
      </c>
      <c r="M26" s="44"/>
      <c r="N26" s="47" t="s">
        <v>369</v>
      </c>
      <c r="O26" s="44"/>
    </row>
    <row r="27" customFormat="false" ht="21.75" hidden="false" customHeight="true" outlineLevel="0" collapsed="false">
      <c r="A27" s="43" t="s">
        <v>370</v>
      </c>
      <c r="B27" s="29" t="str">
        <f aca="false">A10</f>
        <v>Team 5</v>
      </c>
      <c r="C27" s="46"/>
      <c r="D27" s="29" t="str">
        <f aca="false">A9</f>
        <v>Team 4</v>
      </c>
      <c r="E27" s="46"/>
      <c r="F27" s="29" t="str">
        <f aca="false">A8</f>
        <v>Team 3</v>
      </c>
      <c r="G27" s="46"/>
      <c r="H27" s="29" t="str">
        <f aca="false">A8</f>
        <v>Team 3</v>
      </c>
      <c r="I27" s="46"/>
      <c r="J27" s="29" t="str">
        <f aca="false">A7</f>
        <v>Team 2</v>
      </c>
      <c r="K27" s="46"/>
      <c r="L27" s="29" t="str">
        <f aca="false">A12</f>
        <v>Team 7</v>
      </c>
      <c r="M27" s="46"/>
      <c r="N27" s="29" t="str">
        <f aca="false">A11</f>
        <v>Team 6</v>
      </c>
      <c r="O27" s="46"/>
    </row>
    <row r="29" customFormat="false" ht="21.75" hidden="false" customHeight="true" outlineLevel="0" collapsed="false">
      <c r="A29" s="48" t="s">
        <v>374</v>
      </c>
      <c r="B29" s="49" t="str">
        <f aca="false">A6</f>
        <v>Team 1</v>
      </c>
      <c r="C29" s="49"/>
      <c r="D29" s="49" t="str">
        <f aca="false">A11</f>
        <v>Team 6</v>
      </c>
      <c r="E29" s="49"/>
      <c r="F29" s="49" t="str">
        <f aca="false">A9</f>
        <v>Team 4</v>
      </c>
      <c r="G29" s="49"/>
      <c r="H29" s="49" t="str">
        <f aca="false">A7</f>
        <v>Team 2</v>
      </c>
      <c r="I29" s="49"/>
      <c r="J29" s="49" t="str">
        <f aca="false">A12</f>
        <v>Team 7</v>
      </c>
      <c r="K29" s="49"/>
      <c r="L29" s="49" t="str">
        <f aca="false">A10</f>
        <v>Team 5</v>
      </c>
      <c r="M29" s="49"/>
      <c r="N29" s="49" t="str">
        <f aca="false">A8</f>
        <v>Team 3</v>
      </c>
      <c r="O29" s="49"/>
    </row>
  </sheetData>
  <mergeCells count="18">
    <mergeCell ref="A1:O1"/>
    <mergeCell ref="A2:O2"/>
    <mergeCell ref="A4:H4"/>
    <mergeCell ref="A14:O14"/>
    <mergeCell ref="B15:C15"/>
    <mergeCell ref="D15:E15"/>
    <mergeCell ref="F15:G15"/>
    <mergeCell ref="H15:I15"/>
    <mergeCell ref="J15:K15"/>
    <mergeCell ref="L15:M15"/>
    <mergeCell ref="N15:O15"/>
    <mergeCell ref="B29:C29"/>
    <mergeCell ref="D29:E29"/>
    <mergeCell ref="F29:G29"/>
    <mergeCell ref="H29:I29"/>
    <mergeCell ref="J29:K29"/>
    <mergeCell ref="L29:M29"/>
    <mergeCell ref="N29:O2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4" topLeftCell="A1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22"/>
    <col collapsed="false" customWidth="true" hidden="false" outlineLevel="0" max="3" min="3" style="0" width="7"/>
    <col collapsed="false" customWidth="true" hidden="false" outlineLevel="0" max="4" min="4" style="0" width="14"/>
    <col collapsed="false" customWidth="true" hidden="false" outlineLevel="0" max="5" min="5" style="0" width="7"/>
    <col collapsed="false" customWidth="true" hidden="false" outlineLevel="0" max="6" min="6" style="0" width="14"/>
    <col collapsed="false" customWidth="true" hidden="false" outlineLevel="0" max="7" min="7" style="0" width="7"/>
    <col collapsed="false" customWidth="true" hidden="false" outlineLevel="0" max="8" min="8" style="0" width="14"/>
    <col collapsed="false" customWidth="true" hidden="false" outlineLevel="0" max="9" min="9" style="0" width="7"/>
  </cols>
  <sheetData>
    <row r="1" customFormat="false" ht="22.05" hidden="false" customHeight="false" outlineLevel="0" collapsed="false">
      <c r="A1" s="36" t="s">
        <v>448</v>
      </c>
      <c r="B1" s="36"/>
      <c r="C1" s="36"/>
      <c r="D1" s="36"/>
      <c r="E1" s="36"/>
      <c r="F1" s="36"/>
      <c r="G1" s="36"/>
      <c r="H1" s="36"/>
      <c r="I1" s="36"/>
    </row>
    <row r="2" customFormat="false" ht="15" hidden="false" customHeight="false" outlineLevel="0" collapsed="false">
      <c r="A2" s="37" t="s">
        <v>449</v>
      </c>
      <c r="B2" s="37"/>
      <c r="C2" s="37"/>
      <c r="D2" s="37"/>
      <c r="E2" s="37"/>
      <c r="F2" s="37"/>
      <c r="G2" s="37"/>
      <c r="H2" s="37"/>
      <c r="I2" s="37"/>
    </row>
    <row r="4" customFormat="false" ht="15" hidden="false" customHeight="true" outlineLevel="0" collapsed="false">
      <c r="A4" s="18" t="s">
        <v>420</v>
      </c>
      <c r="B4" s="18"/>
      <c r="C4" s="18"/>
      <c r="D4" s="18"/>
      <c r="E4" s="18"/>
      <c r="F4" s="18"/>
      <c r="G4" s="18"/>
      <c r="H4" s="18"/>
    </row>
    <row r="5" customFormat="false" ht="21.75" hidden="false" customHeight="true" outlineLevel="0" collapsed="false">
      <c r="A5" s="38" t="s">
        <v>421</v>
      </c>
      <c r="B5" s="38" t="s">
        <v>30</v>
      </c>
      <c r="C5" s="38" t="s">
        <v>348</v>
      </c>
      <c r="D5" s="38" t="s">
        <v>349</v>
      </c>
      <c r="E5" s="38" t="s">
        <v>350</v>
      </c>
      <c r="F5" s="38" t="s">
        <v>351</v>
      </c>
      <c r="G5" s="38" t="s">
        <v>352</v>
      </c>
      <c r="H5" s="38" t="s">
        <v>353</v>
      </c>
    </row>
    <row r="6" customFormat="false" ht="15" hidden="false" customHeight="false" outlineLevel="0" collapsed="false">
      <c r="A6" s="39" t="s">
        <v>422</v>
      </c>
      <c r="B6" s="50" t="s">
        <v>423</v>
      </c>
      <c r="C6" s="40" t="n">
        <f aca="false">IF(C18&gt;C20,1,0)+IF(E18&gt;E20,1,0)+IF(G18&gt;G20,1,0)+IF(I18&gt;I20,1,0)</f>
        <v>0</v>
      </c>
      <c r="D6" s="40" t="n">
        <f aca="false">N(C18)+N(E18)+N(G18)+N(I18)</f>
        <v>0</v>
      </c>
      <c r="E6" s="40" t="n">
        <f aca="false">N(C20)+N(E20)+N(G20)+N(I20)</f>
        <v>0</v>
      </c>
      <c r="F6" s="40" t="n">
        <f aca="false">D6-E6</f>
        <v>0</v>
      </c>
      <c r="G6" s="40" t="n">
        <f aca="false">RANK(C6,$C$6:$C$13)+SUMPRODUCT(($C$6:$C$13=C6)*($F$6:$F$13&gt;F6))</f>
        <v>1</v>
      </c>
      <c r="H6" s="40" t="n">
        <f aca="false">IF(N(C18)+N(C20)&gt;0,1,0)+IF(N(E18)+N(E20)&gt;0,1,0)+IF(N(G18)+N(G20)&gt;0,1,0)+IF(N(I18)+N(I20)&gt;0,1,0)</f>
        <v>0</v>
      </c>
    </row>
    <row r="7" customFormat="false" ht="15" hidden="false" customHeight="false" outlineLevel="0" collapsed="false">
      <c r="A7" s="39" t="s">
        <v>424</v>
      </c>
      <c r="B7" s="50" t="s">
        <v>425</v>
      </c>
      <c r="C7" s="40" t="n">
        <f aca="false">IF(G20&gt;G18,1,0)+IF(C22&gt;C24,1,0)+IF(E24&gt;E22,1,0)+IF(I22&gt;I24,1,0)</f>
        <v>0</v>
      </c>
      <c r="D7" s="40" t="n">
        <f aca="false">N(G20)+N(C22)+N(E24)+N(I22)</f>
        <v>0</v>
      </c>
      <c r="E7" s="40" t="n">
        <f aca="false">N(G18)+N(C24)+N(E22)+N(I24)</f>
        <v>0</v>
      </c>
      <c r="F7" s="40" t="n">
        <f aca="false">D7-E7</f>
        <v>0</v>
      </c>
      <c r="G7" s="40" t="n">
        <f aca="false">RANK(C7,$C$6:$C$13)+SUMPRODUCT(($C$6:$C$13=C7)*($F$6:$F$13&gt;F7))</f>
        <v>1</v>
      </c>
      <c r="H7" s="40" t="n">
        <f aca="false">IF(N(G20)+N(G18)&gt;0,1,0)+IF(N(C22)+N(C24)&gt;0,1,0)+IF(N(E24)+N(E22)&gt;0,1,0)+IF(N(I22)+N(I24)&gt;0,1,0)</f>
        <v>0</v>
      </c>
    </row>
    <row r="8" customFormat="false" ht="15" hidden="false" customHeight="false" outlineLevel="0" collapsed="false">
      <c r="A8" s="39" t="s">
        <v>426</v>
      </c>
      <c r="B8" s="50" t="s">
        <v>427</v>
      </c>
      <c r="C8" s="40" t="n">
        <f aca="false">IF(E20&gt;E18,1,0)+IF(C24&gt;C22,1,0)+IF(G22&gt;G24,1,0)+IF(I26&gt;I28,1,0)</f>
        <v>0</v>
      </c>
      <c r="D8" s="40" t="n">
        <f aca="false">N(E20)+N(C24)+N(G22)+N(I26)</f>
        <v>0</v>
      </c>
      <c r="E8" s="40" t="n">
        <f aca="false">N(E18)+N(C22)+N(G24)+N(I28)</f>
        <v>0</v>
      </c>
      <c r="F8" s="40" t="n">
        <f aca="false">D8-E8</f>
        <v>0</v>
      </c>
      <c r="G8" s="40" t="n">
        <f aca="false">RANK(C8,$C$6:$C$13)+SUMPRODUCT(($C$6:$C$13=C8)*($F$6:$F$13&gt;F8))</f>
        <v>1</v>
      </c>
      <c r="H8" s="40" t="n">
        <f aca="false">IF(N(E20)+N(E18)&gt;0,1,0)+IF(N(C24)+N(C22)&gt;0,1,0)+IF(N(G22)+N(G24)&gt;0,1,0)+IF(N(I26)+N(I28)&gt;0,1,0)</f>
        <v>0</v>
      </c>
    </row>
    <row r="9" customFormat="false" ht="15" hidden="false" customHeight="false" outlineLevel="0" collapsed="false">
      <c r="A9" s="39" t="s">
        <v>432</v>
      </c>
      <c r="B9" s="50" t="s">
        <v>433</v>
      </c>
      <c r="C9" s="40" t="n">
        <f aca="false">IF(C20&gt;C18,1,0)+IF(E22&gt;E24,1,0)+IF(G24&gt;G22,1,0)+IF(I30&gt;I32,1,0)</f>
        <v>0</v>
      </c>
      <c r="D9" s="40" t="n">
        <f aca="false">N(C20)+N(E22)+N(G24)+N(I30)</f>
        <v>0</v>
      </c>
      <c r="E9" s="40" t="n">
        <f aca="false">N(C18)+N(E24)+N(G22)+N(I32)</f>
        <v>0</v>
      </c>
      <c r="F9" s="40" t="n">
        <f aca="false">D9-E9</f>
        <v>0</v>
      </c>
      <c r="G9" s="40" t="n">
        <f aca="false">RANK(C9,$C$6:$C$13)+SUMPRODUCT(($C$6:$C$13=C9)*($F$6:$F$13&gt;F9))</f>
        <v>1</v>
      </c>
      <c r="H9" s="40" t="n">
        <f aca="false">IF(N(C20)+N(C18)&gt;0,1,0)+IF(N(E22)+N(E24)&gt;0,1,0)+IF(N(G24)+N(G22)&gt;0,1,0)+IF(N(I30)+N(I32)&gt;0,1,0)</f>
        <v>0</v>
      </c>
    </row>
    <row r="10" customFormat="false" ht="15" hidden="false" customHeight="false" outlineLevel="0" collapsed="false">
      <c r="A10" s="39" t="s">
        <v>437</v>
      </c>
      <c r="B10" s="50" t="s">
        <v>438</v>
      </c>
      <c r="C10" s="40" t="n">
        <f aca="false">IF(I20&gt;I18,1,0)+IF(C26&gt;C28,1,0)+IF(E26&gt;E28,1,0)+IF(G26&gt;G28,1,0)</f>
        <v>0</v>
      </c>
      <c r="D10" s="40" t="n">
        <f aca="false">N(I20)+N(C26)+N(E26)+N(G26)</f>
        <v>0</v>
      </c>
      <c r="E10" s="40" t="n">
        <f aca="false">N(I18)+N(C28)+N(E28)+N(G28)</f>
        <v>0</v>
      </c>
      <c r="F10" s="40" t="n">
        <f aca="false">D10-E10</f>
        <v>0</v>
      </c>
      <c r="G10" s="40" t="n">
        <f aca="false">RANK(C10,$C$6:$C$13)+SUMPRODUCT(($C$6:$C$13=C10)*($F$6:$F$13&gt;F10))</f>
        <v>1</v>
      </c>
      <c r="H10" s="40" t="n">
        <f aca="false">IF(N(I20)+N(I18)&gt;0,1,0)+IF(N(C26)+N(C28)&gt;0,1,0)+IF(N(E26)+N(E28)&gt;0,1,0)+IF(N(G26)+N(G28)&gt;0,1,0)</f>
        <v>0</v>
      </c>
    </row>
    <row r="11" customFormat="false" ht="15" hidden="false" customHeight="false" outlineLevel="0" collapsed="false">
      <c r="A11" s="39" t="s">
        <v>441</v>
      </c>
      <c r="B11" s="50" t="s">
        <v>442</v>
      </c>
      <c r="C11" s="40" t="n">
        <f aca="false">IF(I24&gt;I22,1,0)+IF(G28&gt;G26,1,0)+IF(C30&gt;C32,1,0)+IF(E32&gt;E30,1,0)</f>
        <v>0</v>
      </c>
      <c r="D11" s="40" t="n">
        <f aca="false">N(I24)+N(G28)+N(C30)+N(E32)</f>
        <v>0</v>
      </c>
      <c r="E11" s="40" t="n">
        <f aca="false">N(I22)+N(G26)+N(C32)+N(E30)</f>
        <v>0</v>
      </c>
      <c r="F11" s="40" t="n">
        <f aca="false">D11-E11</f>
        <v>0</v>
      </c>
      <c r="G11" s="40" t="n">
        <f aca="false">RANK(C11,$C$6:$C$13)+SUMPRODUCT(($C$6:$C$13=C11)*($F$6:$F$13&gt;F11))</f>
        <v>1</v>
      </c>
      <c r="H11" s="40" t="n">
        <f aca="false">IF(N(I24)+N(I22)&gt;0,1,0)+IF(N(G28)+N(G26)&gt;0,1,0)+IF(N(C30)+N(C32)&gt;0,1,0)+IF(N(E32)+N(E30)&gt;0,1,0)</f>
        <v>0</v>
      </c>
    </row>
    <row r="12" customFormat="false" ht="15" hidden="false" customHeight="false" outlineLevel="0" collapsed="false">
      <c r="A12" s="39" t="s">
        <v>446</v>
      </c>
      <c r="B12" s="50" t="s">
        <v>447</v>
      </c>
      <c r="C12" s="40" t="n">
        <f aca="false">IF(E28&gt;E26,1,0)+IF(I28&gt;I26,1,0)+IF(C32&gt;C30,1,0)+IF(G30&gt;G32,1,0)</f>
        <v>0</v>
      </c>
      <c r="D12" s="40" t="n">
        <f aca="false">N(E28)+N(I28)+N(C32)+N(G30)</f>
        <v>0</v>
      </c>
      <c r="E12" s="40" t="n">
        <f aca="false">N(E26)+N(I26)+N(C30)+N(G32)</f>
        <v>0</v>
      </c>
      <c r="F12" s="40" t="n">
        <f aca="false">D12-E12</f>
        <v>0</v>
      </c>
      <c r="G12" s="40" t="n">
        <f aca="false">RANK(C12,$C$6:$C$13)+SUMPRODUCT(($C$6:$C$13=C12)*($F$6:$F$13&gt;F12))</f>
        <v>1</v>
      </c>
      <c r="H12" s="40" t="n">
        <f aca="false">IF(N(E28)+N(E26)&gt;0,1,0)+IF(N(I28)+N(I26)&gt;0,1,0)+IF(N(C32)+N(C30)&gt;0,1,0)+IF(N(G30)+N(G32)&gt;0,1,0)</f>
        <v>0</v>
      </c>
    </row>
    <row r="13" customFormat="false" ht="15" hidden="false" customHeight="false" outlineLevel="0" collapsed="false">
      <c r="A13" s="39" t="s">
        <v>450</v>
      </c>
      <c r="B13" s="50" t="s">
        <v>451</v>
      </c>
      <c r="C13" s="40" t="n">
        <f aca="false">IF(C28&gt;C26,1,0)+IF(E30&gt;E32,1,0)+IF(G32&gt;G30,1,0)+IF(I32&gt;I30,1,0)</f>
        <v>0</v>
      </c>
      <c r="D13" s="40" t="n">
        <f aca="false">N(C28)+N(E30)+N(G32)+N(I32)</f>
        <v>0</v>
      </c>
      <c r="E13" s="40" t="n">
        <f aca="false">N(C26)+N(E32)+N(G30)+N(I30)</f>
        <v>0</v>
      </c>
      <c r="F13" s="40" t="n">
        <f aca="false">D13-E13</f>
        <v>0</v>
      </c>
      <c r="G13" s="40" t="n">
        <f aca="false">RANK(C13,$C$6:$C$13)+SUMPRODUCT(($C$6:$C$13=C13)*($F$6:$F$13&gt;F13))</f>
        <v>1</v>
      </c>
      <c r="H13" s="40" t="n">
        <f aca="false">IF(N(C28)+N(C26)&gt;0,1,0)+IF(N(E30)+N(E32)&gt;0,1,0)+IF(N(G32)+N(G30)&gt;0,1,0)+IF(N(I32)+N(I30)&gt;0,1,0)</f>
        <v>0</v>
      </c>
    </row>
    <row r="15" customFormat="false" ht="15" hidden="false" customHeight="true" outlineLevel="0" collapsed="false">
      <c r="A15" s="18" t="s">
        <v>358</v>
      </c>
      <c r="B15" s="18"/>
      <c r="C15" s="18"/>
      <c r="D15" s="18"/>
      <c r="E15" s="18"/>
      <c r="F15" s="18"/>
      <c r="G15" s="18"/>
      <c r="H15" s="18"/>
      <c r="I15" s="18"/>
    </row>
    <row r="16" customFormat="false" ht="21.75" hidden="false" customHeight="true" outlineLevel="0" collapsed="false">
      <c r="A16" s="38" t="s">
        <v>428</v>
      </c>
      <c r="B16" s="51" t="s">
        <v>360</v>
      </c>
      <c r="C16" s="51"/>
      <c r="D16" s="51" t="s">
        <v>361</v>
      </c>
      <c r="E16" s="51"/>
      <c r="F16" s="51" t="s">
        <v>362</v>
      </c>
      <c r="G16" s="51"/>
      <c r="H16" s="51" t="s">
        <v>452</v>
      </c>
      <c r="I16" s="51"/>
    </row>
    <row r="17" customFormat="false" ht="21.75" hidden="false" customHeight="true" outlineLevel="0" collapsed="false">
      <c r="A17" s="42" t="s">
        <v>429</v>
      </c>
    </row>
    <row r="18" customFormat="false" ht="21.75" hidden="false" customHeight="true" outlineLevel="0" collapsed="false">
      <c r="A18" s="43" t="s">
        <v>367</v>
      </c>
      <c r="B18" s="29" t="str">
        <f aca="false">A6</f>
        <v>Team 1</v>
      </c>
      <c r="C18" s="46"/>
      <c r="D18" s="29" t="str">
        <f aca="false">A6</f>
        <v>Team 1</v>
      </c>
      <c r="E18" s="46"/>
      <c r="F18" s="29" t="str">
        <f aca="false">A6</f>
        <v>Team 1</v>
      </c>
      <c r="G18" s="46"/>
      <c r="H18" s="29" t="str">
        <f aca="false">A6</f>
        <v>Team 1</v>
      </c>
      <c r="I18" s="46"/>
    </row>
    <row r="19" customFormat="false" ht="18" hidden="false" customHeight="true" outlineLevel="0" collapsed="false">
      <c r="A19" s="47" t="s">
        <v>368</v>
      </c>
      <c r="B19" s="47" t="s">
        <v>369</v>
      </c>
      <c r="C19" s="44"/>
      <c r="D19" s="47" t="s">
        <v>369</v>
      </c>
      <c r="E19" s="44"/>
      <c r="F19" s="47" t="s">
        <v>369</v>
      </c>
      <c r="G19" s="44"/>
      <c r="H19" s="47" t="s">
        <v>369</v>
      </c>
      <c r="I19" s="44"/>
    </row>
    <row r="20" customFormat="false" ht="21.75" hidden="false" customHeight="true" outlineLevel="0" collapsed="false">
      <c r="A20" s="43" t="s">
        <v>370</v>
      </c>
      <c r="B20" s="29" t="str">
        <f aca="false">A9</f>
        <v>Team 4</v>
      </c>
      <c r="C20" s="46"/>
      <c r="D20" s="29" t="str">
        <f aca="false">A8</f>
        <v>Team 3</v>
      </c>
      <c r="E20" s="46"/>
      <c r="F20" s="29" t="str">
        <f aca="false">A7</f>
        <v>Team 2</v>
      </c>
      <c r="G20" s="46"/>
      <c r="H20" s="29" t="str">
        <f aca="false">A10</f>
        <v>Team 5</v>
      </c>
      <c r="I20" s="46"/>
    </row>
    <row r="21" customFormat="false" ht="21.75" hidden="false" customHeight="true" outlineLevel="0" collapsed="false">
      <c r="A21" s="42" t="s">
        <v>434</v>
      </c>
    </row>
    <row r="22" customFormat="false" ht="21.75" hidden="false" customHeight="true" outlineLevel="0" collapsed="false">
      <c r="A22" s="43" t="s">
        <v>367</v>
      </c>
      <c r="B22" s="29" t="str">
        <f aca="false">A7</f>
        <v>Team 2</v>
      </c>
      <c r="C22" s="46"/>
      <c r="D22" s="29" t="str">
        <f aca="false">A9</f>
        <v>Team 4</v>
      </c>
      <c r="E22" s="46"/>
      <c r="F22" s="29" t="str">
        <f aca="false">A8</f>
        <v>Team 3</v>
      </c>
      <c r="G22" s="46"/>
      <c r="H22" s="29" t="str">
        <f aca="false">A7</f>
        <v>Team 2</v>
      </c>
      <c r="I22" s="46"/>
    </row>
    <row r="23" customFormat="false" ht="18" hidden="false" customHeight="true" outlineLevel="0" collapsed="false">
      <c r="A23" s="47" t="s">
        <v>368</v>
      </c>
      <c r="B23" s="47" t="s">
        <v>369</v>
      </c>
      <c r="C23" s="44"/>
      <c r="D23" s="47" t="s">
        <v>369</v>
      </c>
      <c r="E23" s="44"/>
      <c r="F23" s="47" t="s">
        <v>369</v>
      </c>
      <c r="G23" s="44"/>
      <c r="H23" s="47" t="s">
        <v>369</v>
      </c>
      <c r="I23" s="44"/>
    </row>
    <row r="24" customFormat="false" ht="21.75" hidden="false" customHeight="true" outlineLevel="0" collapsed="false">
      <c r="A24" s="43" t="s">
        <v>370</v>
      </c>
      <c r="B24" s="29" t="str">
        <f aca="false">A8</f>
        <v>Team 3</v>
      </c>
      <c r="C24" s="46"/>
      <c r="D24" s="29" t="str">
        <f aca="false">A7</f>
        <v>Team 2</v>
      </c>
      <c r="E24" s="46"/>
      <c r="F24" s="29" t="str">
        <f aca="false">A9</f>
        <v>Team 4</v>
      </c>
      <c r="G24" s="46"/>
      <c r="H24" s="29" t="str">
        <f aca="false">A11</f>
        <v>Team 6</v>
      </c>
      <c r="I24" s="46"/>
    </row>
    <row r="25" customFormat="false" ht="21.75" hidden="false" customHeight="true" outlineLevel="0" collapsed="false">
      <c r="A25" s="42" t="s">
        <v>443</v>
      </c>
    </row>
    <row r="26" customFormat="false" ht="21.75" hidden="false" customHeight="true" outlineLevel="0" collapsed="false">
      <c r="A26" s="43" t="s">
        <v>367</v>
      </c>
      <c r="B26" s="29" t="str">
        <f aca="false">A10</f>
        <v>Team 5</v>
      </c>
      <c r="C26" s="46"/>
      <c r="D26" s="29" t="str">
        <f aca="false">A10</f>
        <v>Team 5</v>
      </c>
      <c r="E26" s="46"/>
      <c r="F26" s="29" t="str">
        <f aca="false">A10</f>
        <v>Team 5</v>
      </c>
      <c r="G26" s="46"/>
      <c r="H26" s="29" t="str">
        <f aca="false">A8</f>
        <v>Team 3</v>
      </c>
      <c r="I26" s="46"/>
    </row>
    <row r="27" customFormat="false" ht="18" hidden="false" customHeight="true" outlineLevel="0" collapsed="false">
      <c r="A27" s="47" t="s">
        <v>368</v>
      </c>
      <c r="B27" s="47" t="s">
        <v>369</v>
      </c>
      <c r="C27" s="44"/>
      <c r="D27" s="47" t="s">
        <v>369</v>
      </c>
      <c r="E27" s="44"/>
      <c r="F27" s="47" t="s">
        <v>369</v>
      </c>
      <c r="G27" s="44"/>
      <c r="H27" s="47" t="s">
        <v>369</v>
      </c>
      <c r="I27" s="44"/>
    </row>
    <row r="28" customFormat="false" ht="21.75" hidden="false" customHeight="true" outlineLevel="0" collapsed="false">
      <c r="A28" s="43" t="s">
        <v>370</v>
      </c>
      <c r="B28" s="29" t="str">
        <f aca="false">A13</f>
        <v>Team 8</v>
      </c>
      <c r="C28" s="46"/>
      <c r="D28" s="29" t="str">
        <f aca="false">A12</f>
        <v>Team 7</v>
      </c>
      <c r="E28" s="46"/>
      <c r="F28" s="29" t="str">
        <f aca="false">A11</f>
        <v>Team 6</v>
      </c>
      <c r="G28" s="46"/>
      <c r="H28" s="29" t="str">
        <f aca="false">A12</f>
        <v>Team 7</v>
      </c>
      <c r="I28" s="46"/>
    </row>
    <row r="29" customFormat="false" ht="21.75" hidden="false" customHeight="true" outlineLevel="0" collapsed="false">
      <c r="A29" s="42" t="s">
        <v>453</v>
      </c>
    </row>
    <row r="30" customFormat="false" ht="21.75" hidden="false" customHeight="true" outlineLevel="0" collapsed="false">
      <c r="A30" s="43" t="s">
        <v>367</v>
      </c>
      <c r="B30" s="29" t="str">
        <f aca="false">A11</f>
        <v>Team 6</v>
      </c>
      <c r="C30" s="46"/>
      <c r="D30" s="29" t="str">
        <f aca="false">A13</f>
        <v>Team 8</v>
      </c>
      <c r="E30" s="46"/>
      <c r="F30" s="29" t="str">
        <f aca="false">A12</f>
        <v>Team 7</v>
      </c>
      <c r="G30" s="46"/>
      <c r="H30" s="29" t="str">
        <f aca="false">A9</f>
        <v>Team 4</v>
      </c>
      <c r="I30" s="46"/>
    </row>
    <row r="31" customFormat="false" ht="18" hidden="false" customHeight="true" outlineLevel="0" collapsed="false">
      <c r="A31" s="47" t="s">
        <v>368</v>
      </c>
      <c r="B31" s="47" t="s">
        <v>369</v>
      </c>
      <c r="C31" s="44"/>
      <c r="D31" s="47" t="s">
        <v>369</v>
      </c>
      <c r="E31" s="44"/>
      <c r="F31" s="47" t="s">
        <v>369</v>
      </c>
      <c r="G31" s="44"/>
      <c r="H31" s="47" t="s">
        <v>369</v>
      </c>
      <c r="I31" s="44"/>
    </row>
    <row r="32" customFormat="false" ht="21.75" hidden="false" customHeight="true" outlineLevel="0" collapsed="false">
      <c r="A32" s="43" t="s">
        <v>370</v>
      </c>
      <c r="B32" s="29" t="str">
        <f aca="false">A12</f>
        <v>Team 7</v>
      </c>
      <c r="C32" s="46"/>
      <c r="D32" s="29" t="str">
        <f aca="false">A11</f>
        <v>Team 6</v>
      </c>
      <c r="E32" s="46"/>
      <c r="F32" s="29" t="str">
        <f aca="false">A13</f>
        <v>Team 8</v>
      </c>
      <c r="G32" s="46"/>
      <c r="H32" s="29" t="str">
        <f aca="false">A13</f>
        <v>Team 8</v>
      </c>
      <c r="I32" s="46"/>
    </row>
  </sheetData>
  <mergeCells count="8">
    <mergeCell ref="A1:I1"/>
    <mergeCell ref="A2:I2"/>
    <mergeCell ref="A4:H4"/>
    <mergeCell ref="A15:I15"/>
    <mergeCell ref="B16:C16"/>
    <mergeCell ref="D16:E16"/>
    <mergeCell ref="F16:G16"/>
    <mergeCell ref="H16:I1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3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5" topLeftCell="A1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22"/>
    <col collapsed="false" customWidth="true" hidden="false" outlineLevel="0" max="3" min="3" style="0" width="7"/>
    <col collapsed="false" customWidth="true" hidden="false" outlineLevel="0" max="4" min="4" style="0" width="14"/>
    <col collapsed="false" customWidth="true" hidden="false" outlineLevel="0" max="5" min="5" style="0" width="7"/>
    <col collapsed="false" customWidth="true" hidden="false" outlineLevel="0" max="6" min="6" style="0" width="14"/>
    <col collapsed="false" customWidth="true" hidden="false" outlineLevel="0" max="7" min="7" style="0" width="7"/>
    <col collapsed="false" customWidth="true" hidden="false" outlineLevel="0" max="8" min="8" style="0" width="14"/>
    <col collapsed="false" customWidth="true" hidden="false" outlineLevel="0" max="9" min="9" style="0" width="7"/>
    <col collapsed="false" customWidth="true" hidden="false" outlineLevel="0" max="10" min="10" style="0" width="14"/>
    <col collapsed="false" customWidth="true" hidden="false" outlineLevel="0" max="11" min="11" style="0" width="7"/>
    <col collapsed="false" customWidth="true" hidden="false" outlineLevel="0" max="12" min="12" style="0" width="14"/>
    <col collapsed="false" customWidth="true" hidden="false" outlineLevel="0" max="13" min="13" style="0" width="7"/>
  </cols>
  <sheetData>
    <row r="1" customFormat="false" ht="22.05" hidden="false" customHeight="false" outlineLevel="0" collapsed="false">
      <c r="A1" s="36" t="s">
        <v>454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</row>
    <row r="2" customFormat="false" ht="15" hidden="false" customHeight="false" outlineLevel="0" collapsed="false">
      <c r="A2" s="37" t="s">
        <v>455</v>
      </c>
      <c r="B2" s="37"/>
      <c r="C2" s="37"/>
      <c r="D2" s="37"/>
      <c r="E2" s="37"/>
      <c r="F2" s="37"/>
      <c r="G2" s="37"/>
      <c r="H2" s="37"/>
      <c r="I2" s="37"/>
      <c r="J2" s="37"/>
      <c r="K2" s="37"/>
      <c r="L2" s="37"/>
      <c r="M2" s="37"/>
    </row>
    <row r="4" customFormat="false" ht="15" hidden="false" customHeight="true" outlineLevel="0" collapsed="false">
      <c r="A4" s="18" t="s">
        <v>420</v>
      </c>
      <c r="B4" s="18"/>
      <c r="C4" s="18"/>
      <c r="D4" s="18"/>
      <c r="E4" s="18"/>
      <c r="F4" s="18"/>
      <c r="G4" s="18"/>
      <c r="H4" s="18"/>
    </row>
    <row r="5" customFormat="false" ht="21.75" hidden="false" customHeight="true" outlineLevel="0" collapsed="false">
      <c r="A5" s="38" t="s">
        <v>421</v>
      </c>
      <c r="B5" s="38" t="s">
        <v>30</v>
      </c>
      <c r="C5" s="38" t="s">
        <v>348</v>
      </c>
      <c r="D5" s="38" t="s">
        <v>349</v>
      </c>
      <c r="E5" s="38" t="s">
        <v>350</v>
      </c>
      <c r="F5" s="38" t="s">
        <v>351</v>
      </c>
      <c r="G5" s="38" t="s">
        <v>352</v>
      </c>
      <c r="H5" s="38" t="s">
        <v>353</v>
      </c>
    </row>
    <row r="6" customFormat="false" ht="15" hidden="false" customHeight="false" outlineLevel="0" collapsed="false">
      <c r="A6" s="39" t="s">
        <v>422</v>
      </c>
      <c r="B6" s="50" t="s">
        <v>423</v>
      </c>
      <c r="C6" s="40" t="n">
        <f aca="false">IF(E19&gt;E21,1,0)+IF(G19&gt;G21,1,0)+IF(I19&gt;I21,1,0)+IF(K19&gt;K21,1,0)+IF(M21&gt;M19,1,0)</f>
        <v>0</v>
      </c>
      <c r="D6" s="40" t="n">
        <f aca="false">N(E19)+N(G19)+N(I19)+N(K19)+N(M21)</f>
        <v>0</v>
      </c>
      <c r="E6" s="40" t="n">
        <f aca="false">N(E21)+N(G21)+N(I21)+N(K21)+N(M19)</f>
        <v>0</v>
      </c>
      <c r="F6" s="40" t="n">
        <f aca="false">D6-E6</f>
        <v>0</v>
      </c>
      <c r="G6" s="40" t="n">
        <f aca="false">RANK(C6,$C$6:$C$14)+SUMPRODUCT(($C$6:$C$14=C6)*($F$6:$F$14&gt;F6))</f>
        <v>1</v>
      </c>
      <c r="H6" s="40" t="n">
        <f aca="false">IF(N(E19)+N(E21)&gt;0,1,0)+IF(N(G19)+N(G21)&gt;0,1,0)+IF(N(I19)+N(I21)&gt;0,1,0)+IF(N(K19)+N(K21)&gt;0,1,0)+IF(N(M21)+N(M19)&gt;0,1,0)</f>
        <v>0</v>
      </c>
    </row>
    <row r="7" customFormat="false" ht="15" hidden="false" customHeight="false" outlineLevel="0" collapsed="false">
      <c r="A7" s="39" t="s">
        <v>424</v>
      </c>
      <c r="B7" s="50" t="s">
        <v>425</v>
      </c>
      <c r="C7" s="40" t="n">
        <f aca="false">IF(C19&gt;C21,1,0)+IF(K21&gt;K19,1,0)+IF(E23&gt;E25,1,0)+IF(I25&gt;I23,1,0)+IF(M25&gt;M23,1,0)</f>
        <v>0</v>
      </c>
      <c r="D7" s="40" t="n">
        <f aca="false">N(C19)+N(K21)+N(E23)+N(I25)+N(M25)</f>
        <v>0</v>
      </c>
      <c r="E7" s="40" t="n">
        <f aca="false">N(C21)+N(K19)+N(E25)+N(I23)+N(M23)</f>
        <v>0</v>
      </c>
      <c r="F7" s="40" t="n">
        <f aca="false">D7-E7</f>
        <v>0</v>
      </c>
      <c r="G7" s="40" t="n">
        <f aca="false">RANK(C7,$C$6:$C$14)+SUMPRODUCT(($C$6:$C$14=C7)*($F$6:$F$14&gt;F7))</f>
        <v>1</v>
      </c>
      <c r="H7" s="40" t="n">
        <f aca="false">IF(N(C19)+N(C21)&gt;0,1,0)+IF(N(K21)+N(K19)&gt;0,1,0)+IF(N(E23)+N(E25)&gt;0,1,0)+IF(N(I25)+N(I23)&gt;0,1,0)+IF(N(M25)+N(M23)&gt;0,1,0)</f>
        <v>0</v>
      </c>
    </row>
    <row r="8" customFormat="false" ht="15" hidden="false" customHeight="false" outlineLevel="0" collapsed="false">
      <c r="A8" s="39" t="s">
        <v>426</v>
      </c>
      <c r="B8" s="50" t="s">
        <v>427</v>
      </c>
      <c r="C8" s="40" t="n">
        <f aca="false">IF(I21&gt;I19,1,0)+IF(C23&gt;C25,1,0)+IF(E25&gt;E23,1,0)+IF(G25&gt;G23,1,0)+IF(M29&gt;M27,1,0)</f>
        <v>0</v>
      </c>
      <c r="D8" s="40" t="n">
        <f aca="false">N(I21)+N(C23)+N(E25)+N(G25)+N(M29)</f>
        <v>0</v>
      </c>
      <c r="E8" s="40" t="n">
        <f aca="false">N(I19)+N(C25)+N(E23)+N(G23)+N(M27)</f>
        <v>0</v>
      </c>
      <c r="F8" s="40" t="n">
        <f aca="false">D8-E8</f>
        <v>0</v>
      </c>
      <c r="G8" s="40" t="n">
        <f aca="false">RANK(C8,$C$6:$C$14)+SUMPRODUCT(($C$6:$C$14=C8)*($F$6:$F$14&gt;F8))</f>
        <v>1</v>
      </c>
      <c r="H8" s="40" t="n">
        <f aca="false">IF(N(I21)+N(I19)&gt;0,1,0)+IF(N(C23)+N(C25)&gt;0,1,0)+IF(N(E25)+N(E23)&gt;0,1,0)+IF(N(G25)+N(G23)&gt;0,1,0)+IF(N(M29)+N(M27)&gt;0,1,0)</f>
        <v>0</v>
      </c>
    </row>
    <row r="9" customFormat="false" ht="15" hidden="false" customHeight="false" outlineLevel="0" collapsed="false">
      <c r="A9" s="39" t="s">
        <v>432</v>
      </c>
      <c r="B9" s="50" t="s">
        <v>433</v>
      </c>
      <c r="C9" s="40" t="n">
        <f aca="false">IF(G21&gt;G19,1,0)+IF(C25&gt;C23,1,0)+IF(I23&gt;I25,1,0)+IF(K23&gt;K25,1,0)+IF(M33&gt;M31,1,0)</f>
        <v>0</v>
      </c>
      <c r="D9" s="40" t="n">
        <f aca="false">N(G21)+N(C25)+N(I23)+N(K23)+N(M33)</f>
        <v>0</v>
      </c>
      <c r="E9" s="40" t="n">
        <f aca="false">N(G19)+N(C23)+N(I25)+N(K25)+N(M31)</f>
        <v>0</v>
      </c>
      <c r="F9" s="40" t="n">
        <f aca="false">D9-E9</f>
        <v>0</v>
      </c>
      <c r="G9" s="40" t="n">
        <f aca="false">RANK(C9,$C$6:$C$14)+SUMPRODUCT(($C$6:$C$14=C9)*($F$6:$F$14&gt;F9))</f>
        <v>1</v>
      </c>
      <c r="H9" s="40" t="n">
        <f aca="false">IF(N(G21)+N(G19)&gt;0,1,0)+IF(N(C25)+N(C23)&gt;0,1,0)+IF(N(I23)+N(I25)&gt;0,1,0)+IF(N(K23)+N(K25)&gt;0,1,0)+IF(N(M33)+N(M31)&gt;0,1,0)</f>
        <v>0</v>
      </c>
    </row>
    <row r="10" customFormat="false" ht="15" hidden="false" customHeight="false" outlineLevel="0" collapsed="false">
      <c r="A10" s="39" t="s">
        <v>437</v>
      </c>
      <c r="B10" s="50" t="s">
        <v>438</v>
      </c>
      <c r="C10" s="40" t="n">
        <f aca="false">IF(C21&gt;C19,1,0)+IF(E21&gt;E19,1,0)+IF(G23&gt;G25,1,0)+IF(K25&gt;K23,1,0)</f>
        <v>0</v>
      </c>
      <c r="D10" s="40" t="n">
        <f aca="false">N(C21)+N(E21)+N(G23)+N(K25)</f>
        <v>0</v>
      </c>
      <c r="E10" s="40" t="n">
        <f aca="false">N(C19)+N(E19)+N(G25)+N(K23)</f>
        <v>0</v>
      </c>
      <c r="F10" s="40" t="n">
        <f aca="false">D10-E10</f>
        <v>0</v>
      </c>
      <c r="G10" s="40" t="n">
        <f aca="false">RANK(C10,$C$6:$C$14)+SUMPRODUCT(($C$6:$C$14=C10)*($F$6:$F$14&gt;F10))</f>
        <v>1</v>
      </c>
      <c r="H10" s="40" t="n">
        <f aca="false">IF(N(C21)+N(C19)&gt;0,1,0)+IF(N(E21)+N(E19)&gt;0,1,0)+IF(N(G23)+N(G25)&gt;0,1,0)+IF(N(K25)+N(K23)&gt;0,1,0)</f>
        <v>0</v>
      </c>
    </row>
    <row r="11" customFormat="false" ht="15" hidden="false" customHeight="false" outlineLevel="0" collapsed="false">
      <c r="A11" s="39" t="s">
        <v>441</v>
      </c>
      <c r="B11" s="50" t="s">
        <v>442</v>
      </c>
      <c r="C11" s="40" t="n">
        <f aca="false">IF(M19&gt;M21,1,0)+IF(C27&gt;C29,1,0)+IF(E27&gt;E29,1,0)+IF(G27&gt;G29,1,0)</f>
        <v>0</v>
      </c>
      <c r="D11" s="40" t="n">
        <f aca="false">N(M19)+N(C27)+N(E27)+N(G27)</f>
        <v>0</v>
      </c>
      <c r="E11" s="40" t="n">
        <f aca="false">N(M21)+N(C29)+N(E29)+N(G29)</f>
        <v>0</v>
      </c>
      <c r="F11" s="40" t="n">
        <f aca="false">D11-E11</f>
        <v>0</v>
      </c>
      <c r="G11" s="40" t="n">
        <f aca="false">RANK(C11,$C$6:$C$14)+SUMPRODUCT(($C$6:$C$14=C11)*($F$6:$F$14&gt;F11))</f>
        <v>1</v>
      </c>
      <c r="H11" s="40" t="n">
        <f aca="false">IF(N(M19)+N(M21)&gt;0,1,0)+IF(N(C27)+N(C29)&gt;0,1,0)+IF(N(E27)+N(E29)&gt;0,1,0)+IF(N(G27)+N(G29)&gt;0,1,0)</f>
        <v>0</v>
      </c>
    </row>
    <row r="12" customFormat="false" ht="15" hidden="false" customHeight="false" outlineLevel="0" collapsed="false">
      <c r="A12" s="39" t="s">
        <v>446</v>
      </c>
      <c r="B12" s="50" t="s">
        <v>447</v>
      </c>
      <c r="C12" s="40" t="n">
        <f aca="false">IF(M23&gt;M25,1,0)+IF(G29&gt;G27,1,0)+IF(C31&gt;C33,1,0)+IF(E33&gt;E31,1,0)</f>
        <v>0</v>
      </c>
      <c r="D12" s="40" t="n">
        <f aca="false">N(M23)+N(G29)+N(C31)+N(E33)</f>
        <v>0</v>
      </c>
      <c r="E12" s="40" t="n">
        <f aca="false">N(M25)+N(G27)+N(C33)+N(E31)</f>
        <v>0</v>
      </c>
      <c r="F12" s="40" t="n">
        <f aca="false">D12-E12</f>
        <v>0</v>
      </c>
      <c r="G12" s="40" t="n">
        <f aca="false">RANK(C12,$C$6:$C$14)+SUMPRODUCT(($C$6:$C$14=C12)*($F$6:$F$14&gt;F12))</f>
        <v>1</v>
      </c>
      <c r="H12" s="40" t="n">
        <f aca="false">IF(N(M23)+N(M25)&gt;0,1,0)+IF(N(G29)+N(G27)&gt;0,1,0)+IF(N(C31)+N(C33)&gt;0,1,0)+IF(N(E33)+N(E31)&gt;0,1,0)</f>
        <v>0</v>
      </c>
    </row>
    <row r="13" customFormat="false" ht="15" hidden="false" customHeight="false" outlineLevel="0" collapsed="false">
      <c r="A13" s="39" t="s">
        <v>450</v>
      </c>
      <c r="B13" s="50" t="s">
        <v>451</v>
      </c>
      <c r="C13" s="40" t="n">
        <f aca="false">IF(E29&gt;E27,1,0)+IF(M27&gt;M29,1,0)+IF(C33&gt;C31,1,0)+IF(G31&gt;G33,1,0)</f>
        <v>0</v>
      </c>
      <c r="D13" s="40" t="n">
        <f aca="false">N(E29)+N(M27)+N(C33)+N(G31)</f>
        <v>0</v>
      </c>
      <c r="E13" s="40" t="n">
        <f aca="false">N(E27)+N(M29)+N(C31)+N(G33)</f>
        <v>0</v>
      </c>
      <c r="F13" s="40" t="n">
        <f aca="false">D13-E13</f>
        <v>0</v>
      </c>
      <c r="G13" s="40" t="n">
        <f aca="false">RANK(C13,$C$6:$C$14)+SUMPRODUCT(($C$6:$C$14=C13)*($F$6:$F$14&gt;F13))</f>
        <v>1</v>
      </c>
      <c r="H13" s="40" t="n">
        <f aca="false">IF(N(E29)+N(E27)&gt;0,1,0)+IF(N(M27)+N(M29)&gt;0,1,0)+IF(N(C33)+N(C31)&gt;0,1,0)+IF(N(G31)+N(G33)&gt;0,1,0)</f>
        <v>0</v>
      </c>
    </row>
    <row r="14" customFormat="false" ht="15" hidden="false" customHeight="false" outlineLevel="0" collapsed="false">
      <c r="A14" s="39" t="s">
        <v>456</v>
      </c>
      <c r="B14" s="50" t="s">
        <v>457</v>
      </c>
      <c r="C14" s="40" t="n">
        <f aca="false">IF(C29&gt;C27,1,0)+IF(E31&gt;E33,1,0)+IF(G33&gt;G31,1,0)+IF(M31&gt;M33,1,0)</f>
        <v>0</v>
      </c>
      <c r="D14" s="40" t="n">
        <f aca="false">N(C29)+N(E31)+N(G33)+N(M31)</f>
        <v>0</v>
      </c>
      <c r="E14" s="40" t="n">
        <f aca="false">N(C27)+N(E33)+N(G31)+N(M33)</f>
        <v>0</v>
      </c>
      <c r="F14" s="40" t="n">
        <f aca="false">D14-E14</f>
        <v>0</v>
      </c>
      <c r="G14" s="40" t="n">
        <f aca="false">RANK(C14,$C$6:$C$14)+SUMPRODUCT(($C$6:$C$14=C14)*($F$6:$F$14&gt;F14))</f>
        <v>1</v>
      </c>
      <c r="H14" s="40" t="n">
        <f aca="false">IF(N(C29)+N(C27)&gt;0,1,0)+IF(N(E31)+N(E33)&gt;0,1,0)+IF(N(G33)+N(G31)&gt;0,1,0)+IF(N(M31)+N(M33)&gt;0,1,0)</f>
        <v>0</v>
      </c>
    </row>
    <row r="16" customFormat="false" ht="15" hidden="false" customHeight="true" outlineLevel="0" collapsed="false">
      <c r="A16" s="18" t="s">
        <v>358</v>
      </c>
      <c r="B16" s="18"/>
      <c r="C16" s="18"/>
      <c r="D16" s="18"/>
      <c r="E16" s="18"/>
      <c r="F16" s="18"/>
      <c r="G16" s="18"/>
      <c r="H16" s="18"/>
      <c r="I16" s="18"/>
      <c r="J16" s="18"/>
      <c r="K16" s="18"/>
      <c r="L16" s="18"/>
      <c r="M16" s="18"/>
    </row>
    <row r="17" customFormat="false" ht="21.75" hidden="false" customHeight="true" outlineLevel="0" collapsed="false">
      <c r="A17" s="38" t="s">
        <v>428</v>
      </c>
      <c r="B17" s="51" t="s">
        <v>360</v>
      </c>
      <c r="C17" s="51"/>
      <c r="D17" s="51" t="s">
        <v>361</v>
      </c>
      <c r="E17" s="51"/>
      <c r="F17" s="51" t="s">
        <v>362</v>
      </c>
      <c r="G17" s="51"/>
      <c r="H17" s="51" t="s">
        <v>363</v>
      </c>
      <c r="I17" s="51"/>
      <c r="J17" s="51" t="s">
        <v>364</v>
      </c>
      <c r="K17" s="51"/>
      <c r="L17" s="51" t="s">
        <v>452</v>
      </c>
      <c r="M17" s="51"/>
    </row>
    <row r="18" customFormat="false" ht="21.75" hidden="false" customHeight="true" outlineLevel="0" collapsed="false">
      <c r="A18" s="42" t="s">
        <v>429</v>
      </c>
    </row>
    <row r="19" customFormat="false" ht="21.75" hidden="false" customHeight="true" outlineLevel="0" collapsed="false">
      <c r="A19" s="43" t="s">
        <v>367</v>
      </c>
      <c r="B19" s="29" t="str">
        <f aca="false">A7</f>
        <v>Team 2</v>
      </c>
      <c r="C19" s="46"/>
      <c r="D19" s="29" t="str">
        <f aca="false">A6</f>
        <v>Team 1</v>
      </c>
      <c r="E19" s="46"/>
      <c r="F19" s="29" t="str">
        <f aca="false">A6</f>
        <v>Team 1</v>
      </c>
      <c r="G19" s="46"/>
      <c r="H19" s="29" t="str">
        <f aca="false">A6</f>
        <v>Team 1</v>
      </c>
      <c r="I19" s="46"/>
      <c r="J19" s="29" t="str">
        <f aca="false">A6</f>
        <v>Team 1</v>
      </c>
      <c r="K19" s="46"/>
      <c r="L19" s="29" t="str">
        <f aca="false">A11</f>
        <v>Team 6</v>
      </c>
      <c r="M19" s="46"/>
    </row>
    <row r="20" customFormat="false" ht="18" hidden="false" customHeight="true" outlineLevel="0" collapsed="false">
      <c r="A20" s="47" t="s">
        <v>368</v>
      </c>
      <c r="B20" s="47" t="s">
        <v>369</v>
      </c>
      <c r="C20" s="44"/>
      <c r="D20" s="47" t="s">
        <v>369</v>
      </c>
      <c r="E20" s="44"/>
      <c r="F20" s="47" t="s">
        <v>369</v>
      </c>
      <c r="G20" s="44"/>
      <c r="H20" s="47" t="s">
        <v>369</v>
      </c>
      <c r="I20" s="44"/>
      <c r="J20" s="47" t="s">
        <v>369</v>
      </c>
      <c r="K20" s="44"/>
      <c r="L20" s="47" t="s">
        <v>369</v>
      </c>
      <c r="M20" s="44"/>
    </row>
    <row r="21" customFormat="false" ht="21.75" hidden="false" customHeight="true" outlineLevel="0" collapsed="false">
      <c r="A21" s="43" t="s">
        <v>370</v>
      </c>
      <c r="B21" s="29" t="str">
        <f aca="false">A10</f>
        <v>Team 5</v>
      </c>
      <c r="C21" s="46"/>
      <c r="D21" s="29" t="str">
        <f aca="false">A10</f>
        <v>Team 5</v>
      </c>
      <c r="E21" s="46"/>
      <c r="F21" s="29" t="str">
        <f aca="false">A9</f>
        <v>Team 4</v>
      </c>
      <c r="G21" s="46"/>
      <c r="H21" s="29" t="str">
        <f aca="false">A8</f>
        <v>Team 3</v>
      </c>
      <c r="I21" s="46"/>
      <c r="J21" s="29" t="str">
        <f aca="false">A7</f>
        <v>Team 2</v>
      </c>
      <c r="K21" s="46"/>
      <c r="L21" s="29" t="str">
        <f aca="false">A6</f>
        <v>Team 1</v>
      </c>
      <c r="M21" s="46"/>
    </row>
    <row r="22" customFormat="false" ht="21.75" hidden="false" customHeight="true" outlineLevel="0" collapsed="false">
      <c r="A22" s="42" t="s">
        <v>434</v>
      </c>
    </row>
    <row r="23" customFormat="false" ht="21.75" hidden="false" customHeight="true" outlineLevel="0" collapsed="false">
      <c r="A23" s="43" t="s">
        <v>367</v>
      </c>
      <c r="B23" s="29" t="str">
        <f aca="false">A8</f>
        <v>Team 3</v>
      </c>
      <c r="C23" s="46"/>
      <c r="D23" s="29" t="str">
        <f aca="false">A7</f>
        <v>Team 2</v>
      </c>
      <c r="E23" s="46"/>
      <c r="F23" s="29" t="str">
        <f aca="false">A10</f>
        <v>Team 5</v>
      </c>
      <c r="G23" s="46"/>
      <c r="H23" s="29" t="str">
        <f aca="false">A9</f>
        <v>Team 4</v>
      </c>
      <c r="I23" s="46"/>
      <c r="J23" s="29" t="str">
        <f aca="false">A9</f>
        <v>Team 4</v>
      </c>
      <c r="K23" s="46"/>
      <c r="L23" s="29" t="str">
        <f aca="false">A12</f>
        <v>Team 7</v>
      </c>
      <c r="M23" s="46"/>
    </row>
    <row r="24" customFormat="false" ht="18" hidden="false" customHeight="true" outlineLevel="0" collapsed="false">
      <c r="A24" s="47" t="s">
        <v>368</v>
      </c>
      <c r="B24" s="47" t="s">
        <v>369</v>
      </c>
      <c r="C24" s="44"/>
      <c r="D24" s="47" t="s">
        <v>369</v>
      </c>
      <c r="E24" s="44"/>
      <c r="F24" s="47" t="s">
        <v>369</v>
      </c>
      <c r="G24" s="44"/>
      <c r="H24" s="47" t="s">
        <v>369</v>
      </c>
      <c r="I24" s="44"/>
      <c r="J24" s="47" t="s">
        <v>369</v>
      </c>
      <c r="K24" s="44"/>
      <c r="L24" s="47" t="s">
        <v>369</v>
      </c>
      <c r="M24" s="44"/>
    </row>
    <row r="25" customFormat="false" ht="21.75" hidden="false" customHeight="true" outlineLevel="0" collapsed="false">
      <c r="A25" s="43" t="s">
        <v>370</v>
      </c>
      <c r="B25" s="29" t="str">
        <f aca="false">A9</f>
        <v>Team 4</v>
      </c>
      <c r="C25" s="46"/>
      <c r="D25" s="29" t="str">
        <f aca="false">A8</f>
        <v>Team 3</v>
      </c>
      <c r="E25" s="46"/>
      <c r="F25" s="29" t="str">
        <f aca="false">A8</f>
        <v>Team 3</v>
      </c>
      <c r="G25" s="46"/>
      <c r="H25" s="29" t="str">
        <f aca="false">A7</f>
        <v>Team 2</v>
      </c>
      <c r="I25" s="46"/>
      <c r="J25" s="29" t="str">
        <f aca="false">A10</f>
        <v>Team 5</v>
      </c>
      <c r="K25" s="46"/>
      <c r="L25" s="29" t="str">
        <f aca="false">A7</f>
        <v>Team 2</v>
      </c>
      <c r="M25" s="46"/>
    </row>
    <row r="26" customFormat="false" ht="21.75" hidden="false" customHeight="true" outlineLevel="0" collapsed="false">
      <c r="A26" s="42" t="s">
        <v>443</v>
      </c>
    </row>
    <row r="27" customFormat="false" ht="21.75" hidden="false" customHeight="true" outlineLevel="0" collapsed="false">
      <c r="A27" s="43" t="s">
        <v>367</v>
      </c>
      <c r="B27" s="29" t="str">
        <f aca="false">A11</f>
        <v>Team 6</v>
      </c>
      <c r="C27" s="46"/>
      <c r="D27" s="29" t="str">
        <f aca="false">A11</f>
        <v>Team 6</v>
      </c>
      <c r="E27" s="46"/>
      <c r="F27" s="29" t="str">
        <f aca="false">A11</f>
        <v>Team 6</v>
      </c>
      <c r="G27" s="46"/>
      <c r="H27" s="52" t="s">
        <v>42</v>
      </c>
      <c r="I27" s="53"/>
      <c r="J27" s="52" t="s">
        <v>42</v>
      </c>
      <c r="K27" s="53"/>
      <c r="L27" s="29" t="str">
        <f aca="false">A13</f>
        <v>Team 8</v>
      </c>
      <c r="M27" s="46"/>
    </row>
    <row r="28" customFormat="false" ht="18" hidden="false" customHeight="true" outlineLevel="0" collapsed="false">
      <c r="A28" s="47" t="s">
        <v>368</v>
      </c>
      <c r="B28" s="47" t="s">
        <v>369</v>
      </c>
      <c r="C28" s="44"/>
      <c r="D28" s="47" t="s">
        <v>369</v>
      </c>
      <c r="E28" s="44"/>
      <c r="F28" s="47" t="s">
        <v>369</v>
      </c>
      <c r="G28" s="44"/>
      <c r="H28" s="53"/>
      <c r="I28" s="53"/>
      <c r="J28" s="53"/>
      <c r="K28" s="53"/>
      <c r="L28" s="47" t="s">
        <v>369</v>
      </c>
      <c r="M28" s="44"/>
    </row>
    <row r="29" customFormat="false" ht="21.75" hidden="false" customHeight="true" outlineLevel="0" collapsed="false">
      <c r="A29" s="43" t="s">
        <v>370</v>
      </c>
      <c r="B29" s="29" t="str">
        <f aca="false">A14</f>
        <v>Team 9</v>
      </c>
      <c r="C29" s="46"/>
      <c r="D29" s="29" t="str">
        <f aca="false">A13</f>
        <v>Team 8</v>
      </c>
      <c r="E29" s="46"/>
      <c r="F29" s="29" t="str">
        <f aca="false">A12</f>
        <v>Team 7</v>
      </c>
      <c r="G29" s="46"/>
      <c r="H29" s="53"/>
      <c r="I29" s="53"/>
      <c r="J29" s="53"/>
      <c r="K29" s="53"/>
      <c r="L29" s="29" t="str">
        <f aca="false">A8</f>
        <v>Team 3</v>
      </c>
      <c r="M29" s="46"/>
    </row>
    <row r="30" customFormat="false" ht="21.75" hidden="false" customHeight="true" outlineLevel="0" collapsed="false">
      <c r="A30" s="42" t="s">
        <v>453</v>
      </c>
    </row>
    <row r="31" customFormat="false" ht="21.75" hidden="false" customHeight="true" outlineLevel="0" collapsed="false">
      <c r="A31" s="43" t="s">
        <v>367</v>
      </c>
      <c r="B31" s="29" t="str">
        <f aca="false">A12</f>
        <v>Team 7</v>
      </c>
      <c r="C31" s="46"/>
      <c r="D31" s="29" t="str">
        <f aca="false">A14</f>
        <v>Team 9</v>
      </c>
      <c r="E31" s="46"/>
      <c r="F31" s="29" t="str">
        <f aca="false">A13</f>
        <v>Team 8</v>
      </c>
      <c r="G31" s="46"/>
      <c r="H31" s="52" t="s">
        <v>42</v>
      </c>
      <c r="I31" s="53"/>
      <c r="J31" s="52" t="s">
        <v>42</v>
      </c>
      <c r="K31" s="53"/>
      <c r="L31" s="29" t="str">
        <f aca="false">A14</f>
        <v>Team 9</v>
      </c>
      <c r="M31" s="46"/>
    </row>
    <row r="32" customFormat="false" ht="18" hidden="false" customHeight="true" outlineLevel="0" collapsed="false">
      <c r="A32" s="47" t="s">
        <v>368</v>
      </c>
      <c r="B32" s="47" t="s">
        <v>369</v>
      </c>
      <c r="C32" s="44"/>
      <c r="D32" s="47" t="s">
        <v>369</v>
      </c>
      <c r="E32" s="44"/>
      <c r="F32" s="47" t="s">
        <v>369</v>
      </c>
      <c r="G32" s="44"/>
      <c r="H32" s="53"/>
      <c r="I32" s="53"/>
      <c r="J32" s="53"/>
      <c r="K32" s="53"/>
      <c r="L32" s="47" t="s">
        <v>369</v>
      </c>
      <c r="M32" s="44"/>
    </row>
    <row r="33" customFormat="false" ht="21.75" hidden="false" customHeight="true" outlineLevel="0" collapsed="false">
      <c r="A33" s="43" t="s">
        <v>370</v>
      </c>
      <c r="B33" s="29" t="str">
        <f aca="false">A13</f>
        <v>Team 8</v>
      </c>
      <c r="C33" s="46"/>
      <c r="D33" s="29" t="str">
        <f aca="false">A12</f>
        <v>Team 7</v>
      </c>
      <c r="E33" s="46"/>
      <c r="F33" s="29" t="str">
        <f aca="false">A14</f>
        <v>Team 9</v>
      </c>
      <c r="G33" s="46"/>
      <c r="H33" s="53"/>
      <c r="I33" s="53"/>
      <c r="J33" s="53"/>
      <c r="K33" s="53"/>
      <c r="L33" s="29" t="str">
        <f aca="false">A9</f>
        <v>Team 4</v>
      </c>
      <c r="M33" s="46"/>
    </row>
    <row r="35" customFormat="false" ht="21.75" hidden="false" customHeight="true" outlineLevel="0" collapsed="false">
      <c r="A35" s="48" t="s">
        <v>374</v>
      </c>
      <c r="B35" s="49" t="str">
        <f aca="false">A6</f>
        <v>Team 1</v>
      </c>
      <c r="C35" s="49"/>
      <c r="D35" s="49" t="str">
        <f aca="false">A9</f>
        <v>Team 4</v>
      </c>
      <c r="E35" s="49"/>
      <c r="F35" s="49" t="str">
        <f aca="false">A7</f>
        <v>Team 2</v>
      </c>
      <c r="G35" s="49"/>
      <c r="H35" s="49" t="str">
        <f aca="false">A10</f>
        <v>Team 5</v>
      </c>
      <c r="I35" s="49"/>
      <c r="J35" s="49" t="str">
        <f aca="false">A8</f>
        <v>Team 3</v>
      </c>
      <c r="K35" s="49"/>
      <c r="L35" s="49"/>
      <c r="M35" s="49"/>
    </row>
  </sheetData>
  <mergeCells count="16">
    <mergeCell ref="A1:M1"/>
    <mergeCell ref="A2:M2"/>
    <mergeCell ref="A4:H4"/>
    <mergeCell ref="A16:M16"/>
    <mergeCell ref="B17:C17"/>
    <mergeCell ref="D17:E17"/>
    <mergeCell ref="F17:G17"/>
    <mergeCell ref="H17:I17"/>
    <mergeCell ref="J17:K17"/>
    <mergeCell ref="L17:M17"/>
    <mergeCell ref="B35:C35"/>
    <mergeCell ref="D35:E35"/>
    <mergeCell ref="F35:G35"/>
    <mergeCell ref="H35:I35"/>
    <mergeCell ref="J35:K35"/>
    <mergeCell ref="L35:M3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2026-05-15T00:17:27Z</dcterms:created>
  <dc:creator>openpyxl</dc:creator>
  <dc:description/>
  <dc:language>en-US</dc:language>
  <cp:lastModifiedBy/>
  <dcterms:modified xsi:type="dcterms:W3CDTF">2026-05-15T00:29:15Z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